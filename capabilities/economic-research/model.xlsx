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4a18eedd0cd24db/Documents/GitHub/Micah-Kosasa/.claude/worktrees/input-verification-entries/capabilities/economic-research/"/>
    </mc:Choice>
  </mc:AlternateContent>
  <xr:revisionPtr revIDLastSave="14" documentId="11_12724D8FE8C52F55D017639E04DE94764280CA1E" xr6:coauthVersionLast="47" xr6:coauthVersionMax="47" xr10:uidLastSave="{92D3790E-1427-45CB-89C8-993612966DB4}"/>
  <bookViews>
    <workbookView xWindow="-28920" yWindow="-120" windowWidth="29040" windowHeight="15720" xr2:uid="{00000000-000D-0000-FFFF-FFFF00000000}"/>
  </bookViews>
  <sheets>
    <sheet name="Inputs" sheetId="1" r:id="rId1"/>
    <sheet name="Waitlist" sheetId="2" r:id="rId2"/>
    <sheet name="Cost" sheetId="3" r:id="rId3"/>
    <sheet name="Tests" sheetId="4" r:id="rId4"/>
    <sheet name="County" sheetId="5" r:id="rId5"/>
    <sheet name="Capacity" sheetId="6" r:id="rId6"/>
    <sheet name="Conditions" sheetId="7" r:id="rId7"/>
    <sheet name="FigureData" sheetId="8" r:id="rId8"/>
    <sheet name="WorkedExample" sheetId="9" r:id="rId9"/>
    <sheet name="Checks" sheetId="10" r:id="rId10"/>
  </sheets>
  <definedNames>
    <definedName name="AVOID_COST_HI">Inputs!$B$10</definedName>
    <definedName name="AVOID_COST_LO">Inputs!$B$9</definedName>
    <definedName name="BENCH_DAYS">Inputs!$B$7</definedName>
    <definedName name="BENCH_TOTAL">Waitlist!$C$4:$C$11</definedName>
    <definedName name="CAP_RATIO">Capacity!$D$4:$D$11</definedName>
    <definedName name="CAP_RATIO_STAFF_2024">Capacity!$D$14</definedName>
    <definedName name="COND_A_GAP">Conditions!$E$7:$E$8</definedName>
    <definedName name="COST_FWD">Conditions!$C$5:$C$8</definedName>
    <definedName name="COST_FY">Inputs!$A$61:$A$73</definedName>
    <definedName name="COUNTY">Inputs!$A$34:$A$37</definedName>
    <definedName name="COVID_FLAG">Waitlist!$U$4:$U$11</definedName>
    <definedName name="COVID_YEARS">Inputs!$B$16:$B$17</definedName>
    <definedName name="CTY_DAY_SHARE">County!$D$4:$E$7</definedName>
    <definedName name="CTY_DAYS">Inputs!$D$34:$E$37</definedName>
    <definedName name="CTY_DAYS_PER_PT">County!$B$4:$C$7</definedName>
    <definedName name="CTY_PATIENTS">Inputs!$B$34:$C$37</definedName>
    <definedName name="DATE_ADJ_2021">Inputs!$B$13</definedName>
    <definedName name="DATE_RESET_2024">Inputs!$B$14</definedName>
    <definedName name="DAYS_IN_YEAR">Waitlist!$I$4:$I$11</definedName>
    <definedName name="DAYS_PER_PT">Waitlist!$B$4:$B$11</definedName>
    <definedName name="DEC31_NF">Inputs!$L$22:$L$29</definedName>
    <definedName name="DEC31_TOTAL">Inputs!$K$22:$K$29</definedName>
    <definedName name="EXCESS_BEDS">Waitlist!$J$4:$J$11</definedName>
    <definedName name="EXCESS_COST_HI">Cost!$C$11:$D$11</definedName>
    <definedName name="EXCESS_COST_HI_NOW">Cost!$E$11</definedName>
    <definedName name="EXCESS_COST_LO">Cost!$C$10:$D$10</definedName>
    <definedName name="EXCESS_COST_LO_NOW">Cost!$E$10</definedName>
    <definedName name="EXCESS_DAYS">Waitlist!$F$4:$F$11</definedName>
    <definedName name="EXCESS_SHARE">Waitlist!$H$4:$H$11</definedName>
    <definedName name="FLAG_2017_INCOMPLETE">Waitlist!$B$14</definedName>
    <definedName name="GAP_PER_PT">Waitlist!$D$4:$D$11</definedName>
    <definedName name="KFF_COST_DAY">Inputs!$B$8</definedName>
    <definedName name="LARGEST_REASON">Tests!$B$19:$B$26</definedName>
    <definedName name="LTC_UNSTAFFED">Inputs!$M$22:$M$29</definedName>
    <definedName name="LTC_UNSTAFFED_STAFF_2024">Inputs!$B$6</definedName>
    <definedName name="MB_GROSS">Inputs!$B$78:$B$81</definedName>
    <definedName name="MEETS_BENCH">Waitlist!$K$4:$K$11</definedName>
    <definedName name="NET_COST_HI">Cost!$C$9:$D$9</definedName>
    <definedName name="NET_COST_HI_NOW">Cost!$E$9</definedName>
    <definedName name="NET_COST_LO">Cost!$C$8:$D$8</definedName>
    <definedName name="NET_COST_LO_NOW">Cost!$E$8</definedName>
    <definedName name="NF_COST_ALL">Inputs!$B$61:$B$73</definedName>
    <definedName name="NF_COST_MCD_HEAVY">Inputs!$C$61:$C$73</definedName>
    <definedName name="NF_RATE_MEDIAN">Inputs!$C$41:$C$57</definedName>
    <definedName name="NF_SHARE_DEC31">Cost!$C$12:$D$12</definedName>
    <definedName name="RATE_DATE">Inputs!$A$41:$A$57</definedName>
    <definedName name="RATE_FWD">Conditions!$D$7:$D$8</definedName>
    <definedName name="RATE_GROWTH_2024_2026">Conditions!$B$10</definedName>
    <definedName name="REASON_BEHAVIOR">Inputs!$E$22:$E$29</definedName>
    <definedName name="REASON_FINANCIAL">Inputs!$G$22:$G$29</definedName>
    <definedName name="REASON_GUARDIANSHIP">Inputs!$H$22:$H$29</definedName>
    <definedName name="REASON_NO_BED">Inputs!$D$22:$D$29</definedName>
    <definedName name="REASON_OTHER">Inputs!$J$22:$J$29</definedName>
    <definedName name="REASON_PASARR">Inputs!$I$22:$I$29</definedName>
    <definedName name="REASON_SPECIAL_CARE">Inputs!$F$22:$F$29</definedName>
    <definedName name="REASON_SUM">Waitlist!$L$4:$L$11</definedName>
    <definedName name="SHARE_BEHAVIOR">Waitlist!$N$4:$N$11</definedName>
    <definedName name="SHARE_FINANCIAL">Waitlist!$P$4:$P$11</definedName>
    <definedName name="SHARE_GUARDIANSHIP">Waitlist!$Q$4:$Q$11</definedName>
    <definedName name="SHARE_NO_BED">Waitlist!$M$4:$M$11</definedName>
    <definedName name="SHARE_OTHER">Waitlist!$S$4:$S$11</definedName>
    <definedName name="SHARE_PASARR">Waitlist!$R$4:$R$11</definedName>
    <definedName name="SHARE_SPECIAL_CARE">Waitlist!$O$4:$O$11</definedName>
    <definedName name="T1_DROP_2021">Tests!$B$6</definedName>
    <definedName name="T1_DROP_2024">Tests!$B$10</definedName>
    <definedName name="T1_FIN_CHANGE_2021">Tests!$B$34</definedName>
    <definedName name="T1_FIN_CHANGE_2024">Tests!$B$36</definedName>
    <definedName name="T1_MIN_DROP_PTS">Inputs!$B$15</definedName>
    <definedName name="T1_OTHER_CHANGE_2021">Tests!$B$35</definedName>
    <definedName name="T1_OTHER_CHANGE_2024">Tests!$B$37</definedName>
    <definedName name="T1_PASS_2021">Tests!$B$7</definedName>
    <definedName name="T1_PASS_2024">Tests!$B$11</definedName>
    <definedName name="T1_VERDICT">Tests!$B$12</definedName>
    <definedName name="T2_SLOPE">Tests!$B$15</definedName>
    <definedName name="T2_VERDICT">Tests!$B$16</definedName>
    <definedName name="T3_VERDICT">Tests!$B$28</definedName>
    <definedName name="T3_YEARS">Tests!$B$27</definedName>
    <definedName name="WITHIN_DAYS">Waitlist!$G$4:$G$11</definedName>
    <definedName name="WL_DAYS">Inputs!$C$22:$C$29</definedName>
    <definedName name="WL_DAYS_CHANGE_2024">Cost!$C$14</definedName>
    <definedName name="WL_PATIENTS">Inputs!$B$22:$B$29</definedName>
    <definedName name="WL_RATE_2026">Inputs!$B$11</definedName>
    <definedName name="WL_RATE_AVG">Cost!$C$7:$D$7</definedName>
    <definedName name="WL_RATE_JAN">Inputs!$N$22:$N$29</definedName>
    <definedName name="WL_RATE_JUL">Inputs!$O$22:$O$29</definedName>
    <definedName name="WL_RATE_LEAHI_2026">Inputs!$B$12</definedName>
    <definedName name="YEAR">Inputs!$A$22:$A$29</definedName>
  </definedNames>
  <calcPr calcId="191029"/>
</workbook>
</file>

<file path=xl/calcChain.xml><?xml version="1.0" encoding="utf-8"?>
<calcChain xmlns="http://schemas.openxmlformats.org/spreadsheetml/2006/main">
  <c r="E73" i="10" l="1"/>
  <c r="F70" i="10"/>
  <c r="E70" i="10"/>
  <c r="A70" i="10"/>
  <c r="F69" i="10"/>
  <c r="E69" i="10"/>
  <c r="A69" i="10"/>
  <c r="F68" i="10"/>
  <c r="E68" i="10"/>
  <c r="A68" i="10"/>
  <c r="F67" i="10"/>
  <c r="E67" i="10"/>
  <c r="A67" i="10"/>
  <c r="F66" i="10"/>
  <c r="E66" i="10"/>
  <c r="A66" i="10"/>
  <c r="F65" i="10"/>
  <c r="E65" i="10"/>
  <c r="A65" i="10"/>
  <c r="F64" i="10"/>
  <c r="E64" i="10"/>
  <c r="A64" i="10"/>
  <c r="F63" i="10"/>
  <c r="E63" i="10"/>
  <c r="A63" i="10"/>
  <c r="F62" i="10"/>
  <c r="E62" i="10"/>
  <c r="A62" i="10"/>
  <c r="F61" i="10"/>
  <c r="E61" i="10"/>
  <c r="A61" i="10"/>
  <c r="F57" i="10"/>
  <c r="E57" i="10"/>
  <c r="A57" i="10"/>
  <c r="F56" i="10"/>
  <c r="E56" i="10"/>
  <c r="A56" i="10"/>
  <c r="F55" i="10"/>
  <c r="D55" i="10"/>
  <c r="A55" i="10"/>
  <c r="F54" i="10"/>
  <c r="A54" i="10"/>
  <c r="F53" i="10"/>
  <c r="E53" i="10"/>
  <c r="A53" i="10"/>
  <c r="F52" i="10"/>
  <c r="E52" i="10"/>
  <c r="D52" i="10"/>
  <c r="G52" i="10" s="1"/>
  <c r="A52" i="10"/>
  <c r="F51" i="10"/>
  <c r="E51" i="10"/>
  <c r="A51" i="10"/>
  <c r="F50" i="10"/>
  <c r="E50" i="10"/>
  <c r="A50" i="10"/>
  <c r="F49" i="10"/>
  <c r="E49" i="10"/>
  <c r="A49" i="10"/>
  <c r="F45" i="10"/>
  <c r="E45" i="10"/>
  <c r="A45" i="10"/>
  <c r="F44" i="10"/>
  <c r="E44" i="10"/>
  <c r="A44" i="10"/>
  <c r="F43" i="10"/>
  <c r="E43" i="10"/>
  <c r="A43" i="10"/>
  <c r="F42" i="10"/>
  <c r="E42" i="10"/>
  <c r="A42" i="10"/>
  <c r="F41" i="10"/>
  <c r="E41" i="10"/>
  <c r="A41" i="10"/>
  <c r="F40" i="10"/>
  <c r="E40" i="10"/>
  <c r="A40" i="10"/>
  <c r="F39" i="10"/>
  <c r="E39" i="10"/>
  <c r="A39" i="10"/>
  <c r="F38" i="10"/>
  <c r="E38" i="10"/>
  <c r="A38" i="10"/>
  <c r="F37" i="10"/>
  <c r="E37" i="10"/>
  <c r="A37" i="10"/>
  <c r="F36" i="10"/>
  <c r="E36" i="10"/>
  <c r="A36" i="10"/>
  <c r="F35" i="10"/>
  <c r="E35" i="10"/>
  <c r="A35" i="10"/>
  <c r="F34" i="10"/>
  <c r="E34" i="10"/>
  <c r="G34" i="10" s="1"/>
  <c r="D34" i="10"/>
  <c r="A34" i="10"/>
  <c r="F33" i="10"/>
  <c r="E33" i="10"/>
  <c r="D33" i="10"/>
  <c r="G33" i="10" s="1"/>
  <c r="A33" i="10"/>
  <c r="G32" i="10"/>
  <c r="F32" i="10"/>
  <c r="E32" i="10"/>
  <c r="D32" i="10"/>
  <c r="A32" i="10"/>
  <c r="G31" i="10"/>
  <c r="F31" i="10"/>
  <c r="E31" i="10"/>
  <c r="D31" i="10"/>
  <c r="A31" i="10"/>
  <c r="F30" i="10"/>
  <c r="E30" i="10"/>
  <c r="D30" i="10"/>
  <c r="G30" i="10" s="1"/>
  <c r="A30" i="10"/>
  <c r="F29" i="10"/>
  <c r="E29" i="10"/>
  <c r="A29" i="10"/>
  <c r="F28" i="10"/>
  <c r="E28" i="10"/>
  <c r="A28" i="10"/>
  <c r="F27" i="10"/>
  <c r="E27" i="10"/>
  <c r="A27" i="10"/>
  <c r="F26" i="10"/>
  <c r="E26" i="10"/>
  <c r="A26" i="10"/>
  <c r="F25" i="10"/>
  <c r="E25" i="10"/>
  <c r="A25" i="10"/>
  <c r="F24" i="10"/>
  <c r="E24" i="10"/>
  <c r="A24" i="10"/>
  <c r="F23" i="10"/>
  <c r="E23" i="10"/>
  <c r="A23" i="10"/>
  <c r="F22" i="10"/>
  <c r="E22" i="10"/>
  <c r="A22" i="10"/>
  <c r="F21" i="10"/>
  <c r="E21" i="10"/>
  <c r="A21" i="10"/>
  <c r="F20" i="10"/>
  <c r="E20" i="10"/>
  <c r="D20" i="10"/>
  <c r="G20" i="10" s="1"/>
  <c r="A20" i="10"/>
  <c r="F19" i="10"/>
  <c r="E19" i="10"/>
  <c r="A19" i="10"/>
  <c r="F18" i="10"/>
  <c r="E18" i="10"/>
  <c r="A18" i="10"/>
  <c r="F17" i="10"/>
  <c r="E17" i="10"/>
  <c r="A17" i="10"/>
  <c r="F16" i="10"/>
  <c r="E16" i="10"/>
  <c r="A16" i="10"/>
  <c r="F15" i="10"/>
  <c r="E15" i="10"/>
  <c r="A15" i="10"/>
  <c r="F14" i="10"/>
  <c r="E14" i="10"/>
  <c r="A14" i="10"/>
  <c r="F13" i="10"/>
  <c r="E13" i="10"/>
  <c r="A13" i="10"/>
  <c r="F12" i="10"/>
  <c r="E12" i="10"/>
  <c r="A12" i="10"/>
  <c r="F11" i="10"/>
  <c r="E11" i="10"/>
  <c r="A11" i="10"/>
  <c r="F10" i="10"/>
  <c r="E10" i="10"/>
  <c r="A10" i="10"/>
  <c r="F9" i="10"/>
  <c r="E9" i="10"/>
  <c r="A9" i="10"/>
  <c r="F8" i="10"/>
  <c r="E8" i="10"/>
  <c r="A8" i="10"/>
  <c r="F7" i="10"/>
  <c r="E7" i="10"/>
  <c r="A7" i="10"/>
  <c r="F6" i="10"/>
  <c r="E6" i="10"/>
  <c r="A6" i="10"/>
  <c r="F5" i="10"/>
  <c r="E5" i="10"/>
  <c r="D5" i="10"/>
  <c r="G5" i="10" s="1"/>
  <c r="A5" i="10"/>
  <c r="D58" i="9"/>
  <c r="D57" i="9"/>
  <c r="E57" i="9" s="1"/>
  <c r="C57" i="9"/>
  <c r="E56" i="9"/>
  <c r="D56" i="9"/>
  <c r="C56" i="9"/>
  <c r="D55" i="9"/>
  <c r="E55" i="9" s="1"/>
  <c r="C55" i="9"/>
  <c r="E54" i="9"/>
  <c r="D54" i="9"/>
  <c r="C54" i="9"/>
  <c r="D53" i="9"/>
  <c r="E53" i="9" s="1"/>
  <c r="C53" i="9"/>
  <c r="D52" i="9"/>
  <c r="C52" i="9"/>
  <c r="E52" i="9" s="1"/>
  <c r="D51" i="9"/>
  <c r="C51" i="9"/>
  <c r="E51" i="9" s="1"/>
  <c r="D50" i="9"/>
  <c r="D49" i="9"/>
  <c r="D48" i="9"/>
  <c r="D47" i="9"/>
  <c r="E46" i="9"/>
  <c r="D46" i="9"/>
  <c r="C46" i="9"/>
  <c r="D45" i="9"/>
  <c r="C45" i="9"/>
  <c r="E45" i="9" s="1"/>
  <c r="D44" i="9"/>
  <c r="C44" i="9"/>
  <c r="E44" i="9" s="1"/>
  <c r="D43" i="9"/>
  <c r="C43" i="9"/>
  <c r="E43" i="9" s="1"/>
  <c r="E42" i="9"/>
  <c r="D42" i="9"/>
  <c r="C42" i="9"/>
  <c r="D41" i="9"/>
  <c r="E40" i="9"/>
  <c r="D40" i="9"/>
  <c r="C40" i="9"/>
  <c r="D39" i="9"/>
  <c r="E39" i="9" s="1"/>
  <c r="C39" i="9"/>
  <c r="E38" i="9"/>
  <c r="D38" i="9"/>
  <c r="C38" i="9"/>
  <c r="D37" i="9"/>
  <c r="E37" i="9" s="1"/>
  <c r="C37" i="9"/>
  <c r="D36" i="9"/>
  <c r="C36" i="9"/>
  <c r="E36" i="9" s="1"/>
  <c r="D35" i="9"/>
  <c r="C35" i="9"/>
  <c r="E35" i="9" s="1"/>
  <c r="D34" i="9"/>
  <c r="C34" i="9"/>
  <c r="E34" i="9" s="1"/>
  <c r="D33" i="9"/>
  <c r="D32" i="9"/>
  <c r="C32" i="9"/>
  <c r="E32" i="9" s="1"/>
  <c r="D31" i="9"/>
  <c r="C31" i="9"/>
  <c r="E31" i="9" s="1"/>
  <c r="E30" i="9"/>
  <c r="D30" i="9"/>
  <c r="C30" i="9"/>
  <c r="D29" i="9"/>
  <c r="C29" i="9"/>
  <c r="E29" i="9" s="1"/>
  <c r="F10" i="9"/>
  <c r="C48" i="9" s="1"/>
  <c r="E48" i="9" s="1"/>
  <c r="E10" i="9"/>
  <c r="F9" i="9"/>
  <c r="E9" i="9"/>
  <c r="C33" i="9" s="1"/>
  <c r="E33" i="9" s="1"/>
  <c r="F8" i="9"/>
  <c r="C49" i="9" s="1"/>
  <c r="E49" i="9" s="1"/>
  <c r="E8" i="9"/>
  <c r="C41" i="9" s="1"/>
  <c r="E41" i="9" s="1"/>
  <c r="D84" i="8"/>
  <c r="A84" i="8"/>
  <c r="D83" i="8"/>
  <c r="A83" i="8"/>
  <c r="D82" i="8"/>
  <c r="A82" i="8"/>
  <c r="D81" i="8"/>
  <c r="A81" i="8"/>
  <c r="D80" i="8"/>
  <c r="A80" i="8"/>
  <c r="D79" i="8"/>
  <c r="A79" i="8"/>
  <c r="D78" i="8"/>
  <c r="A78" i="8"/>
  <c r="D77" i="8"/>
  <c r="A77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C57" i="8"/>
  <c r="A57" i="8"/>
  <c r="B57" i="8" s="1"/>
  <c r="A56" i="8"/>
  <c r="C56" i="8" s="1"/>
  <c r="A55" i="8"/>
  <c r="A54" i="8"/>
  <c r="C54" i="8" s="1"/>
  <c r="C53" i="8"/>
  <c r="A53" i="8"/>
  <c r="B53" i="8" s="1"/>
  <c r="C52" i="8"/>
  <c r="B52" i="8"/>
  <c r="A52" i="8"/>
  <c r="C51" i="8"/>
  <c r="B51" i="8"/>
  <c r="A51" i="8"/>
  <c r="C50" i="8"/>
  <c r="B50" i="8"/>
  <c r="A50" i="8"/>
  <c r="C49" i="8"/>
  <c r="A49" i="8"/>
  <c r="B49" i="8" s="1"/>
  <c r="C48" i="8"/>
  <c r="B48" i="8"/>
  <c r="A48" i="8"/>
  <c r="A47" i="8"/>
  <c r="C47" i="8" s="1"/>
  <c r="A46" i="8"/>
  <c r="C46" i="8" s="1"/>
  <c r="A45" i="8"/>
  <c r="C45" i="8" s="1"/>
  <c r="C44" i="8"/>
  <c r="B44" i="8"/>
  <c r="A44" i="8"/>
  <c r="A43" i="8"/>
  <c r="C43" i="8" s="1"/>
  <c r="A42" i="8"/>
  <c r="C42" i="8" s="1"/>
  <c r="C41" i="8"/>
  <c r="A41" i="8"/>
  <c r="B41" i="8" s="1"/>
  <c r="C40" i="8"/>
  <c r="A40" i="8"/>
  <c r="B40" i="8" s="1"/>
  <c r="A39" i="8"/>
  <c r="C39" i="8" s="1"/>
  <c r="A38" i="8"/>
  <c r="C38" i="8" s="1"/>
  <c r="C37" i="8"/>
  <c r="A37" i="8"/>
  <c r="B37" i="8" s="1"/>
  <c r="C33" i="8"/>
  <c r="B33" i="8"/>
  <c r="C32" i="8"/>
  <c r="B32" i="8"/>
  <c r="I28" i="8"/>
  <c r="E28" i="8"/>
  <c r="A28" i="8"/>
  <c r="A27" i="8"/>
  <c r="A26" i="8"/>
  <c r="I25" i="8"/>
  <c r="G25" i="8"/>
  <c r="A25" i="8"/>
  <c r="I24" i="8"/>
  <c r="A24" i="8"/>
  <c r="I23" i="8"/>
  <c r="G23" i="8"/>
  <c r="F23" i="8"/>
  <c r="C23" i="8"/>
  <c r="B23" i="8"/>
  <c r="A23" i="8"/>
  <c r="F22" i="8"/>
  <c r="A22" i="8"/>
  <c r="I21" i="8"/>
  <c r="D21" i="8"/>
  <c r="A21" i="8"/>
  <c r="B17" i="8"/>
  <c r="B16" i="8"/>
  <c r="D12" i="8"/>
  <c r="B12" i="8"/>
  <c r="A12" i="8"/>
  <c r="D11" i="8"/>
  <c r="B11" i="8"/>
  <c r="A11" i="8"/>
  <c r="E10" i="8"/>
  <c r="D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B6" i="8"/>
  <c r="A6" i="8"/>
  <c r="D5" i="8"/>
  <c r="B5" i="8"/>
  <c r="A5" i="8"/>
  <c r="B10" i="7"/>
  <c r="D41" i="10" s="1"/>
  <c r="G41" i="10" s="1"/>
  <c r="D8" i="7"/>
  <c r="E8" i="7" s="1"/>
  <c r="D45" i="10" s="1"/>
  <c r="G45" i="10" s="1"/>
  <c r="C8" i="7"/>
  <c r="D43" i="10" s="1"/>
  <c r="G43" i="10" s="1"/>
  <c r="B8" i="7"/>
  <c r="D7" i="7"/>
  <c r="E7" i="7" s="1"/>
  <c r="D44" i="10" s="1"/>
  <c r="G44" i="10" s="1"/>
  <c r="C7" i="7"/>
  <c r="D42" i="10" s="1"/>
  <c r="G42" i="10" s="1"/>
  <c r="B7" i="7"/>
  <c r="C6" i="7"/>
  <c r="B6" i="7"/>
  <c r="C5" i="7"/>
  <c r="B5" i="7"/>
  <c r="C4" i="7"/>
  <c r="C13" i="6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C4" i="6"/>
  <c r="A4" i="6"/>
  <c r="E7" i="5"/>
  <c r="D7" i="5"/>
  <c r="C7" i="5"/>
  <c r="B7" i="5"/>
  <c r="A7" i="5"/>
  <c r="E6" i="5"/>
  <c r="D6" i="5"/>
  <c r="C6" i="5"/>
  <c r="B6" i="5"/>
  <c r="A6" i="5"/>
  <c r="E5" i="5"/>
  <c r="D5" i="5"/>
  <c r="C5" i="5"/>
  <c r="B5" i="5"/>
  <c r="A5" i="5"/>
  <c r="E4" i="5"/>
  <c r="D4" i="5"/>
  <c r="C4" i="5"/>
  <c r="B4" i="5"/>
  <c r="A4" i="5"/>
  <c r="B36" i="4"/>
  <c r="D39" i="10" s="1"/>
  <c r="G39" i="10" s="1"/>
  <c r="B34" i="4"/>
  <c r="D37" i="10" s="1"/>
  <c r="G37" i="10" s="1"/>
  <c r="E26" i="4"/>
  <c r="D26" i="4"/>
  <c r="C26" i="4"/>
  <c r="B26" i="4"/>
  <c r="A26" i="4"/>
  <c r="E25" i="4"/>
  <c r="D25" i="4"/>
  <c r="C25" i="4"/>
  <c r="B25" i="4"/>
  <c r="A25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C15" i="3"/>
  <c r="C14" i="3"/>
  <c r="D22" i="10" s="1"/>
  <c r="G22" i="10" s="1"/>
  <c r="D12" i="3"/>
  <c r="C12" i="3"/>
  <c r="E9" i="3"/>
  <c r="E11" i="3" s="1"/>
  <c r="E8" i="3"/>
  <c r="E7" i="3"/>
  <c r="D7" i="3"/>
  <c r="C7" i="3"/>
  <c r="D6" i="3"/>
  <c r="C6" i="3"/>
  <c r="D5" i="3"/>
  <c r="C5" i="3"/>
  <c r="B16" i="2"/>
  <c r="B15" i="2"/>
  <c r="B14" i="2"/>
  <c r="B29" i="4" s="1"/>
  <c r="U11" i="2"/>
  <c r="E12" i="8" s="1"/>
  <c r="T11" i="2"/>
  <c r="R11" i="2"/>
  <c r="G28" i="8" s="1"/>
  <c r="Q11" i="2"/>
  <c r="F28" i="8" s="1"/>
  <c r="P11" i="2"/>
  <c r="B9" i="4" s="1"/>
  <c r="O11" i="2"/>
  <c r="D28" i="8" s="1"/>
  <c r="L11" i="2"/>
  <c r="S11" i="2" s="1"/>
  <c r="H28" i="8" s="1"/>
  <c r="I11" i="2"/>
  <c r="H11" i="2"/>
  <c r="G11" i="2"/>
  <c r="B84" i="8" s="1"/>
  <c r="F11" i="2"/>
  <c r="E11" i="2"/>
  <c r="C11" i="2"/>
  <c r="B11" i="2"/>
  <c r="D11" i="2" s="1"/>
  <c r="D13" i="10" s="1"/>
  <c r="G13" i="10" s="1"/>
  <c r="A11" i="2"/>
  <c r="U10" i="2"/>
  <c r="E11" i="8" s="1"/>
  <c r="T10" i="2"/>
  <c r="L10" i="2"/>
  <c r="M10" i="2" s="1"/>
  <c r="B27" i="8" s="1"/>
  <c r="K10" i="2"/>
  <c r="I10" i="2"/>
  <c r="F10" i="2"/>
  <c r="E10" i="2"/>
  <c r="D10" i="2"/>
  <c r="C10" i="2"/>
  <c r="B10" i="2"/>
  <c r="C11" i="8" s="1"/>
  <c r="A10" i="2"/>
  <c r="U9" i="2"/>
  <c r="T9" i="2"/>
  <c r="L9" i="2"/>
  <c r="O9" i="2" s="1"/>
  <c r="D26" i="8" s="1"/>
  <c r="K9" i="2"/>
  <c r="I9" i="2"/>
  <c r="J9" i="2" s="1"/>
  <c r="F9" i="2"/>
  <c r="C82" i="8" s="1"/>
  <c r="E9" i="2"/>
  <c r="C9" i="2"/>
  <c r="B9" i="2"/>
  <c r="C10" i="8" s="1"/>
  <c r="A9" i="2"/>
  <c r="U8" i="2"/>
  <c r="E9" i="8" s="1"/>
  <c r="T8" i="2"/>
  <c r="S8" i="2"/>
  <c r="H25" i="8" s="1"/>
  <c r="R8" i="2"/>
  <c r="Q8" i="2"/>
  <c r="F25" i="8" s="1"/>
  <c r="P8" i="2"/>
  <c r="O8" i="2"/>
  <c r="D25" i="8" s="1"/>
  <c r="N8" i="2"/>
  <c r="C25" i="8" s="1"/>
  <c r="L8" i="2"/>
  <c r="M8" i="2" s="1"/>
  <c r="B25" i="8" s="1"/>
  <c r="K8" i="2"/>
  <c r="I8" i="2"/>
  <c r="E8" i="2"/>
  <c r="D8" i="2"/>
  <c r="C8" i="2"/>
  <c r="F8" i="2" s="1"/>
  <c r="J8" i="2" s="1"/>
  <c r="B8" i="2"/>
  <c r="A8" i="2"/>
  <c r="U7" i="2"/>
  <c r="E8" i="8" s="1"/>
  <c r="T7" i="2"/>
  <c r="S7" i="2"/>
  <c r="H24" i="8" s="1"/>
  <c r="O7" i="2"/>
  <c r="D24" i="8" s="1"/>
  <c r="L7" i="2"/>
  <c r="R7" i="2" s="1"/>
  <c r="G24" i="8" s="1"/>
  <c r="K7" i="2"/>
  <c r="I7" i="2"/>
  <c r="E7" i="2"/>
  <c r="D7" i="2"/>
  <c r="C7" i="2"/>
  <c r="F7" i="2" s="1"/>
  <c r="B7" i="2"/>
  <c r="A7" i="2"/>
  <c r="U6" i="2"/>
  <c r="E7" i="8" s="1"/>
  <c r="T6" i="2"/>
  <c r="R6" i="2"/>
  <c r="Q6" i="2"/>
  <c r="P6" i="2"/>
  <c r="E23" i="8" s="1"/>
  <c r="O6" i="2"/>
  <c r="D23" i="8" s="1"/>
  <c r="N6" i="2"/>
  <c r="M6" i="2"/>
  <c r="L6" i="2"/>
  <c r="S6" i="2" s="1"/>
  <c r="H23" i="8" s="1"/>
  <c r="K6" i="2"/>
  <c r="J6" i="2"/>
  <c r="I6" i="2"/>
  <c r="H6" i="2"/>
  <c r="F6" i="2"/>
  <c r="C79" i="8" s="1"/>
  <c r="E6" i="2"/>
  <c r="D6" i="2"/>
  <c r="C6" i="2"/>
  <c r="B6" i="2"/>
  <c r="A6" i="2"/>
  <c r="U5" i="2"/>
  <c r="E6" i="8" s="1"/>
  <c r="T5" i="2"/>
  <c r="S5" i="2"/>
  <c r="H22" i="8" s="1"/>
  <c r="R5" i="2"/>
  <c r="G22" i="8" s="1"/>
  <c r="Q5" i="2"/>
  <c r="P5" i="2"/>
  <c r="E22" i="8" s="1"/>
  <c r="O5" i="2"/>
  <c r="D22" i="8" s="1"/>
  <c r="N5" i="2"/>
  <c r="C22" i="8" s="1"/>
  <c r="M5" i="2"/>
  <c r="B22" i="8" s="1"/>
  <c r="L5" i="2"/>
  <c r="D28" i="10" s="1"/>
  <c r="G28" i="10" s="1"/>
  <c r="I5" i="2"/>
  <c r="E5" i="2"/>
  <c r="C5" i="2"/>
  <c r="F5" i="2" s="1"/>
  <c r="B5" i="2"/>
  <c r="K5" i="2" s="1"/>
  <c r="A5" i="2"/>
  <c r="U4" i="2"/>
  <c r="E5" i="8" s="1"/>
  <c r="T4" i="2"/>
  <c r="S4" i="2"/>
  <c r="H21" i="8" s="1"/>
  <c r="R4" i="2"/>
  <c r="G21" i="8" s="1"/>
  <c r="O4" i="2"/>
  <c r="N4" i="2"/>
  <c r="C21" i="8" s="1"/>
  <c r="L4" i="2"/>
  <c r="D29" i="10" s="1"/>
  <c r="G29" i="10" s="1"/>
  <c r="I4" i="2"/>
  <c r="E4" i="2"/>
  <c r="C4" i="2"/>
  <c r="F4" i="2" s="1"/>
  <c r="B4" i="2"/>
  <c r="A4" i="2"/>
  <c r="C2" i="1"/>
  <c r="B2" i="1"/>
  <c r="D61" i="10" s="1"/>
  <c r="G61" i="10" s="1"/>
  <c r="B8" i="6" l="1"/>
  <c r="D8" i="6"/>
  <c r="D9" i="6"/>
  <c r="B9" i="6"/>
  <c r="C50" i="9"/>
  <c r="E50" i="9" s="1"/>
  <c r="C47" i="9"/>
  <c r="E47" i="9" s="1"/>
  <c r="D14" i="10"/>
  <c r="G14" i="10" s="1"/>
  <c r="C9" i="3"/>
  <c r="C8" i="3"/>
  <c r="C10" i="3" s="1"/>
  <c r="D9" i="3"/>
  <c r="D17" i="10" s="1"/>
  <c r="G17" i="10" s="1"/>
  <c r="D8" i="3"/>
  <c r="D16" i="10" s="1"/>
  <c r="G16" i="10" s="1"/>
  <c r="D15" i="10"/>
  <c r="G15" i="10" s="1"/>
  <c r="B39" i="8"/>
  <c r="H7" i="2"/>
  <c r="G7" i="2"/>
  <c r="B80" i="8" s="1"/>
  <c r="C80" i="8"/>
  <c r="J7" i="2"/>
  <c r="D67" i="10"/>
  <c r="G67" i="10" s="1"/>
  <c r="E8" i="5"/>
  <c r="C78" i="8"/>
  <c r="J5" i="2"/>
  <c r="H5" i="2"/>
  <c r="G5" i="2"/>
  <c r="B78" i="8" s="1"/>
  <c r="H4" i="2"/>
  <c r="G4" i="2"/>
  <c r="D51" i="10"/>
  <c r="G51" i="10" s="1"/>
  <c r="C77" i="8"/>
  <c r="D11" i="10"/>
  <c r="G11" i="10" s="1"/>
  <c r="J4" i="2"/>
  <c r="B27" i="4"/>
  <c r="D27" i="10"/>
  <c r="G27" i="10" s="1"/>
  <c r="D6" i="6"/>
  <c r="B6" i="6"/>
  <c r="B5" i="4"/>
  <c r="E25" i="8"/>
  <c r="C58" i="9"/>
  <c r="D57" i="10"/>
  <c r="G57" i="10" s="1"/>
  <c r="G10" i="2"/>
  <c r="B83" i="8" s="1"/>
  <c r="J10" i="2"/>
  <c r="D7" i="10"/>
  <c r="G7" i="10" s="1"/>
  <c r="C83" i="8"/>
  <c r="H10" i="2"/>
  <c r="C11" i="3"/>
  <c r="C4" i="3"/>
  <c r="C55" i="8"/>
  <c r="B55" i="8"/>
  <c r="C81" i="8"/>
  <c r="H8" i="2"/>
  <c r="G8" i="2"/>
  <c r="B81" i="8" s="1"/>
  <c r="D8" i="5"/>
  <c r="D65" i="10" s="1"/>
  <c r="G65" i="10" s="1"/>
  <c r="D53" i="10"/>
  <c r="G53" i="10" s="1"/>
  <c r="K4" i="2"/>
  <c r="C5" i="8"/>
  <c r="D54" i="10"/>
  <c r="B15" i="4"/>
  <c r="D4" i="2"/>
  <c r="D12" i="10" s="1"/>
  <c r="G12" i="10" s="1"/>
  <c r="D5" i="2"/>
  <c r="Q9" i="2"/>
  <c r="F26" i="8" s="1"/>
  <c r="R9" i="2"/>
  <c r="G26" i="8" s="1"/>
  <c r="C12" i="8"/>
  <c r="B47" i="8"/>
  <c r="M7" i="2"/>
  <c r="B24" i="8" s="1"/>
  <c r="S9" i="2"/>
  <c r="H26" i="8" s="1"/>
  <c r="N10" i="2"/>
  <c r="C27" i="8" s="1"/>
  <c r="B42" i="8"/>
  <c r="M4" i="2"/>
  <c r="N7" i="2"/>
  <c r="C24" i="8" s="1"/>
  <c r="D9" i="2"/>
  <c r="O10" i="2"/>
  <c r="D27" i="8" s="1"/>
  <c r="J11" i="2"/>
  <c r="D4" i="3"/>
  <c r="B35" i="4"/>
  <c r="D38" i="10" s="1"/>
  <c r="G38" i="10" s="1"/>
  <c r="C6" i="8"/>
  <c r="C84" i="8"/>
  <c r="P10" i="2"/>
  <c r="K11" i="2"/>
  <c r="E4" i="3"/>
  <c r="E10" i="3"/>
  <c r="E24" i="4"/>
  <c r="I27" i="8"/>
  <c r="D8" i="10"/>
  <c r="G8" i="10" s="1"/>
  <c r="P7" i="2"/>
  <c r="Q10" i="2"/>
  <c r="F27" i="8" s="1"/>
  <c r="D21" i="10"/>
  <c r="G21" i="10" s="1"/>
  <c r="B37" i="4"/>
  <c r="D40" i="10" s="1"/>
  <c r="G40" i="10" s="1"/>
  <c r="B43" i="8"/>
  <c r="B38" i="8"/>
  <c r="B54" i="8"/>
  <c r="P4" i="2"/>
  <c r="E21" i="8" s="1"/>
  <c r="Q7" i="2"/>
  <c r="F24" i="8" s="1"/>
  <c r="G9" i="2"/>
  <c r="B82" i="8" s="1"/>
  <c r="R10" i="2"/>
  <c r="G27" i="8" s="1"/>
  <c r="M11" i="2"/>
  <c r="B28" i="8" s="1"/>
  <c r="Q4" i="2"/>
  <c r="F21" i="8" s="1"/>
  <c r="G6" i="2"/>
  <c r="B79" i="8" s="1"/>
  <c r="H9" i="2"/>
  <c r="S10" i="2"/>
  <c r="H27" i="8" s="1"/>
  <c r="N11" i="2"/>
  <c r="C28" i="8" s="1"/>
  <c r="I22" i="8"/>
  <c r="D69" i="10"/>
  <c r="G69" i="10" s="1"/>
  <c r="D6" i="10"/>
  <c r="G6" i="10" s="1"/>
  <c r="I26" i="8"/>
  <c r="B45" i="8"/>
  <c r="M9" i="2"/>
  <c r="B26" i="8" s="1"/>
  <c r="B56" i="8"/>
  <c r="B46" i="8"/>
  <c r="P9" i="2"/>
  <c r="E26" i="8" s="1"/>
  <c r="N9" i="2"/>
  <c r="C26" i="8" s="1"/>
  <c r="D7" i="6" l="1"/>
  <c r="B7" i="6"/>
  <c r="E54" i="10"/>
  <c r="G54" i="10" s="1"/>
  <c r="D25" i="10"/>
  <c r="G25" i="10" s="1"/>
  <c r="B16" i="4"/>
  <c r="D4" i="6"/>
  <c r="B4" i="6"/>
  <c r="D14" i="6"/>
  <c r="D36" i="10" s="1"/>
  <c r="G36" i="10" s="1"/>
  <c r="D11" i="6"/>
  <c r="D35" i="10" s="1"/>
  <c r="G35" i="10" s="1"/>
  <c r="D10" i="10"/>
  <c r="G10" i="10" s="1"/>
  <c r="B11" i="6"/>
  <c r="D56" i="10"/>
  <c r="G56" i="10" s="1"/>
  <c r="B6" i="4"/>
  <c r="B4" i="4"/>
  <c r="E24" i="8"/>
  <c r="D62" i="10"/>
  <c r="G62" i="10" s="1"/>
  <c r="D9" i="10"/>
  <c r="G9" i="10" s="1"/>
  <c r="D10" i="6"/>
  <c r="B10" i="6"/>
  <c r="D50" i="10"/>
  <c r="G50" i="10" s="1"/>
  <c r="B77" i="8"/>
  <c r="D49" i="10"/>
  <c r="G49" i="10" s="1"/>
  <c r="B21" i="8"/>
  <c r="D5" i="6"/>
  <c r="B5" i="6"/>
  <c r="D11" i="3"/>
  <c r="D19" i="10" s="1"/>
  <c r="G19" i="10" s="1"/>
  <c r="E27" i="8"/>
  <c r="B8" i="4"/>
  <c r="B10" i="4"/>
  <c r="D10" i="3"/>
  <c r="D18" i="10" s="1"/>
  <c r="G18" i="10" s="1"/>
  <c r="D26" i="10"/>
  <c r="G26" i="10" s="1"/>
  <c r="E55" i="10"/>
  <c r="G55" i="10" s="1"/>
  <c r="B28" i="4"/>
  <c r="D68" i="10" l="1"/>
  <c r="G68" i="10" s="1"/>
  <c r="D23" i="10"/>
  <c r="G23" i="10" s="1"/>
  <c r="B7" i="4"/>
  <c r="D66" i="10"/>
  <c r="G66" i="10" s="1"/>
  <c r="D63" i="10"/>
  <c r="G63" i="10" s="1"/>
  <c r="D24" i="10"/>
  <c r="G24" i="10" s="1"/>
  <c r="D73" i="10" s="1"/>
  <c r="B11" i="4"/>
  <c r="B12" i="4" l="1"/>
  <c r="D64" i="10"/>
  <c r="G64" i="10" s="1"/>
  <c r="D70" i="10" l="1"/>
  <c r="G70" i="10" s="1"/>
  <c r="D72" i="10" s="1"/>
</calcChain>
</file>

<file path=xl/sharedStrings.xml><?xml version="1.0" encoding="utf-8"?>
<sst xmlns="http://schemas.openxmlformats.org/spreadsheetml/2006/main" count="682" uniqueCount="455">
  <si>
    <t>Inputs: every manual input (yellow). Values are drafts until verified against the source.</t>
  </si>
  <si>
    <t>Input rows with a verification date</t>
  </si>
  <si>
    <t>Scalar inputs</t>
  </si>
  <si>
    <t>Name</t>
  </si>
  <si>
    <t>Value</t>
  </si>
  <si>
    <t>Unit</t>
  </si>
  <si>
    <t>Source</t>
  </si>
  <si>
    <t>Source page</t>
  </si>
  <si>
    <t>Verified by</t>
  </si>
  <si>
    <t>Date verified</t>
  </si>
  <si>
    <t>LTC_UNSTAFFED_STAFF_2024</t>
  </si>
  <si>
    <t>beds, Dec 31, 2024</t>
  </si>
  <si>
    <t>SHPDA Table 16 (2024), reason text naming staffing (Okutsu Veterans Home's 21 "staff to census" excluded)</t>
  </si>
  <si>
    <t>BENCH_DAYS</t>
  </si>
  <si>
    <t>days per patient (average)</t>
  </si>
  <si>
    <t>My benchmark; reference: Scotland's 2-week maximum (NHS Borders, 2015)</t>
  </si>
  <si>
    <t>KFF_COST_DAY</t>
  </si>
  <si>
    <t>USD per adjusted inpatient day, 2023</t>
  </si>
  <si>
    <t>KFF (AHA Annual Survey), Hawaii nonprofit hospitals ($3,663.56)</t>
  </si>
  <si>
    <t>AVOID_COST_LO</t>
  </si>
  <si>
    <t>USD per waitlisted day</t>
  </si>
  <si>
    <t>About 15% of KFF_COST_DAY, rounded (brief)</t>
  </si>
  <si>
    <t>AVOID_COST_HI</t>
  </si>
  <si>
    <t>About 40% of KFF_COST_DAY, rounded (brief; unrounded 1,466)</t>
  </si>
  <si>
    <t>WL_RATE_2026</t>
  </si>
  <si>
    <t>Med-QUEST QI-2532 (Jan 2026), the current case</t>
  </si>
  <si>
    <t>WL_RATE_LEAHI_2026</t>
  </si>
  <si>
    <t>QI-2532; reported as a note, not used in a calculation</t>
  </si>
  <si>
    <t>DATE_ADJ_2021</t>
  </si>
  <si>
    <t>date</t>
  </si>
  <si>
    <t>SPA HI-23-0014, Attachment 4.19-D p. 38: 12% adjustment for private homes (first seen in the January 2021 memo, QI-2041)</t>
  </si>
  <si>
    <t>DATE_RESET_2024</t>
  </si>
  <si>
    <t>SPA HI-23-0014; QI-2342</t>
  </si>
  <si>
    <t>T1_MIN_DROP_PTS</t>
  </si>
  <si>
    <t>percentage points</t>
  </si>
  <si>
    <t>Brief, test 1</t>
  </si>
  <si>
    <t>COVID_YEARS</t>
  </si>
  <si>
    <t>years</t>
  </si>
  <si>
    <t>Brief</t>
  </si>
  <si>
    <t>(COVID_YEARS, 2nd)</t>
  </si>
  <si>
    <t>Year table (SHPDA Table 18 statewide; Table 16 statewide; Med-QUEST waitlisted rates)</t>
  </si>
  <si>
    <t>Year</t>
  </si>
  <si>
    <t>WL_PATIENTS</t>
  </si>
  <si>
    <t>WL_DAYS</t>
  </si>
  <si>
    <t>REASON_NO_BED</t>
  </si>
  <si>
    <t>REASON_BEHAVIOR</t>
  </si>
  <si>
    <t>REASON_SPECIAL_CARE</t>
  </si>
  <si>
    <t>REASON_FINANCIAL</t>
  </si>
  <si>
    <t>REASON_GUARDIANSHIP</t>
  </si>
  <si>
    <t>REASON_PASARR</t>
  </si>
  <si>
    <t>REASON_OTHER</t>
  </si>
  <si>
    <t>DEC31_TOTAL</t>
  </si>
  <si>
    <t>DEC31_NF</t>
  </si>
  <si>
    <t>LTC_UNSTAFFED</t>
  </si>
  <si>
    <t>WL_RATE_JAN</t>
  </si>
  <si>
    <t>WL_RATE_JUL</t>
  </si>
  <si>
    <t>T18 total</t>
  </si>
  <si>
    <t>T18 reason F</t>
  </si>
  <si>
    <t>T18 reason G</t>
  </si>
  <si>
    <t>T18 reason H</t>
  </si>
  <si>
    <t>T18 reason I</t>
  </si>
  <si>
    <t>T18 reason J</t>
  </si>
  <si>
    <t>T18 reason K</t>
  </si>
  <si>
    <t>T18 reason L</t>
  </si>
  <si>
    <t>T18 by level of care</t>
  </si>
  <si>
    <t>T18 type A</t>
  </si>
  <si>
    <t>T16 statewide</t>
  </si>
  <si>
    <t>QI-2225, QI-2342</t>
  </si>
  <si>
    <t>QI-2326, QI-2413</t>
  </si>
  <si>
    <t>Reason columns F to L; 2017 reasons sum to 120 against 157 by level of care (Maui Memorial records reasons for 6 of 47 patients; Queen's Punchbowl's reasons sum to 43 against 39). DEC31_NF and the waitlisted rates exist for 2023 and 2024 only (blank, not inputs, in other years).</t>
  </si>
  <si>
    <t>County table (Table 18 hospital rows summed by county, shpda-table18-by-hospital-2023-2024.csv)</t>
  </si>
  <si>
    <t>COUNTY</t>
  </si>
  <si>
    <t>CTY_PATIENTS 2023</t>
  </si>
  <si>
    <t>CTY_PATIENTS 2024</t>
  </si>
  <si>
    <t>CTY_DAYS 2023</t>
  </si>
  <si>
    <t>CTY_DAYS 2024</t>
  </si>
  <si>
    <t>Hawaii</t>
  </si>
  <si>
    <t>Honolulu</t>
  </si>
  <si>
    <t>Kauai</t>
  </si>
  <si>
    <t>Maui</t>
  </si>
  <si>
    <t>Median nursing-facility rate by memo (Med-QUEST memos, hi-medicaid-rate-series-2016-2026.csv)</t>
  </si>
  <si>
    <t>RATE_DATE (effective month)</t>
  </si>
  <si>
    <t>Memo</t>
  </si>
  <si>
    <t>NF_RATE_MEDIAN</t>
  </si>
  <si>
    <t>QI-1521</t>
  </si>
  <si>
    <t>QI-1607</t>
  </si>
  <si>
    <t>QI-1622</t>
  </si>
  <si>
    <t>QI-1710</t>
  </si>
  <si>
    <t>QI-1809</t>
  </si>
  <si>
    <t>QI-1820</t>
  </si>
  <si>
    <t>QI-1911B</t>
  </si>
  <si>
    <t>Left blank: QI-1911B, the controlling July 2019 memo, lists but omits its acuity rate table</t>
  </si>
  <si>
    <t>QI-2022</t>
  </si>
  <si>
    <t>QI-2113B</t>
  </si>
  <si>
    <t>QI-2166</t>
  </si>
  <si>
    <t>QI-2225</t>
  </si>
  <si>
    <t>QI-2326</t>
  </si>
  <si>
    <t>QI-2342</t>
  </si>
  <si>
    <t>QI-2413</t>
  </si>
  <si>
    <t>QI-2427</t>
  </si>
  <si>
    <t>QI-2515</t>
  </si>
  <si>
    <t>QI-2532</t>
  </si>
  <si>
    <t>Median nursing-home cost per patient day (CMS SNF cost reports, hi-snf-cost-per-day-series-2011-2023.csv)</t>
  </si>
  <si>
    <t>COST_FY</t>
  </si>
  <si>
    <t>NF_COST_ALL</t>
  </si>
  <si>
    <t>NF_COST_MCD_HEAVY</t>
  </si>
  <si>
    <t>Medicaid-heavy = Medicaid (Title XIX) days at least 50% of total days, excluding complex-care Kulana Malama (CCN 125057) and Islands Skilled Nursing and Rehab (CCN 125067). All facilities = every Hawaii facility in the file. Medians on unrounded values, half up to the cent.</t>
  </si>
  <si>
    <t>Market basket for condition (a) (CMS SNF PPS final rules, FY2024 to FY2027)</t>
  </si>
  <si>
    <t>Fiscal year</t>
  </si>
  <si>
    <t>MB_GROSS</t>
  </si>
  <si>
    <t>CMS SNF PPS final rule FY2024: market basket before the forecast-error and productivity adjustments</t>
  </si>
  <si>
    <t>CMS SNF PPS final rule FY2025: market basket before the forecast-error and productivity adjustments</t>
  </si>
  <si>
    <t>CMS SNF PPS final rule FY2026: market basket before the forecast-error and productivity adjustments</t>
  </si>
  <si>
    <t>CMS SNF PPS final rule FY2027: market basket before the forecast-error and productivity adjustments</t>
  </si>
  <si>
    <t>CMS SNF PPS final rule fact sheets, FY2024 to FY2027. A national Medicare index standing in for Hawaii nursing-home cost growth.</t>
  </si>
  <si>
    <t>Waitlist: days per patient against the benchmark, excess days, beds and reason shares, 2017 to 2024</t>
  </si>
  <si>
    <t>Days per patient</t>
  </si>
  <si>
    <t>Benchmark days (patients x 14)</t>
  </si>
  <si>
    <t>Signed gap per patient (days)</t>
  </si>
  <si>
    <t>Waitlist days</t>
  </si>
  <si>
    <t>Excess days (floored at 0)</t>
  </si>
  <si>
    <t>Days within the benchmark</t>
  </si>
  <si>
    <t>Excess share of days</t>
  </si>
  <si>
    <t>Days in year</t>
  </si>
  <si>
    <t>Excess beds (average day)</t>
  </si>
  <si>
    <t>Meets benchmark</t>
  </si>
  <si>
    <t>Reasons total (F to L)</t>
  </si>
  <si>
    <t>Share: No bed</t>
  </si>
  <si>
    <t>Share: Behavior</t>
  </si>
  <si>
    <t>Share: Special care</t>
  </si>
  <si>
    <t>Share: Financial</t>
  </si>
  <si>
    <t>Share: Guardianship</t>
  </si>
  <si>
    <t>Share: PASARR</t>
  </si>
  <si>
    <t>Share: Other</t>
  </si>
  <si>
    <t>Unstaffed LTC beds, Dec 31</t>
  </si>
  <si>
    <t>COVID flag</t>
  </si>
  <si>
    <t>Flags and notes</t>
  </si>
  <si>
    <t>FLAG_2017_INCOMPLETE</t>
  </si>
  <si>
    <t>2017 reasons recorded for 120 of 157 patients on Dec 31; its shares use the recorded reasons only.</t>
  </si>
  <si>
    <t>Unstaffed LTC beds, 2024</t>
  </si>
  <si>
    <t>Staffing note (reported only)</t>
  </si>
  <si>
    <t>of which, for lack of staff</t>
  </si>
  <si>
    <t>Excess days are measured against the average benchmark and are a lower bound on days patients spent beyond 14. All levels of care. Beds use calendar days (366 in 2020 and 2024).</t>
  </si>
  <si>
    <t>Cost of the gap: net avoidable cost of excess days, 2023, 2024 and the current case (Jan 2026 rate)</t>
  </si>
  <si>
    <t>Measure</t>
  </si>
  <si>
    <t>2023</t>
  </si>
  <si>
    <t>2024</t>
  </si>
  <si>
    <t>Now (2024 excess days at the Jan 2026 rate)</t>
  </si>
  <si>
    <t>Excess days</t>
  </si>
  <si>
    <t>days</t>
  </si>
  <si>
    <t>Waitlisted rate, January</t>
  </si>
  <si>
    <t>USD per day</t>
  </si>
  <si>
    <t>Waitlisted rate, July</t>
  </si>
  <si>
    <t>Average waitlisted rate (WL_RATE_AVG); Now = WL_RATE_2026</t>
  </si>
  <si>
    <t>Net cost per day, low (NET_COST_LO)</t>
  </si>
  <si>
    <t>Net cost per day, high (NET_COST_HI)</t>
  </si>
  <si>
    <t>Cost of excess days, low (EXCESS_COST_LO)</t>
  </si>
  <si>
    <t>USD per year</t>
  </si>
  <si>
    <t>Cost of excess days, high (EXCESS_COST_HI)</t>
  </si>
  <si>
    <t>Nursing-facility share of Dec 31 waitlist (NF_SHARE_DEC31), reported beside the result only</t>
  </si>
  <si>
    <t>share</t>
  </si>
  <si>
    <t>Change in waitlist days, 2023 to 2024 (WL_DAYS_CHANGE_2024)</t>
  </si>
  <si>
    <t>Note: Leahi Hospital, Jan 2026 waitlisted rate</t>
  </si>
  <si>
    <t>Reported as a note; the other hospitals are at WL_RATE_2026. Not used in a calculation.</t>
  </si>
  <si>
    <t>Avoidable cost range AVOID_COST_LO to AVOID_COST_HI per waitlisted day, net of the waitlisted rate. All levels of care.</t>
  </si>
  <si>
    <t>Tests: definitions set on Sep 28, after the results were known (see spec Conventions)</t>
  </si>
  <si>
    <t>Test 1: opportunity cost</t>
  </si>
  <si>
    <t>Note</t>
  </si>
  <si>
    <t>Financial share, Dec 31 2020</t>
  </si>
  <si>
    <t>COVID year</t>
  </si>
  <si>
    <t>Financial share, Dec 31 2021</t>
  </si>
  <si>
    <t>Drop, 2020 to 2021 (T1_DROP_2021; negative = rise)</t>
  </si>
  <si>
    <t>Shown as a percent of the reasons total, i.e. percentage points</t>
  </si>
  <si>
    <t>Passes (drop &gt;= T1_MIN_DROP_PTS) (T1_PASS_2021)</t>
  </si>
  <si>
    <t>Unrounded comparison; 2021 comparison is COVID-confounded</t>
  </si>
  <si>
    <t>Financial share, Dec 31 2023</t>
  </si>
  <si>
    <t>Financial share, Dec 31 2024</t>
  </si>
  <si>
    <t>Drop, 2023 to 2024 (T1_DROP_2024; negative = rise)</t>
  </si>
  <si>
    <t>Passes (drop &gt;= T1_MIN_DROP_PTS) (T1_PASS_2024)</t>
  </si>
  <si>
    <t>Unrounded comparison</t>
  </si>
  <si>
    <t>Verdict (T1_VERDICT)</t>
  </si>
  <si>
    <t>Fails only if both drops fall short (lenient reading)</t>
  </si>
  <si>
    <t>Test 2: wait for the reset</t>
  </si>
  <si>
    <t>Least-squares slope of days per patient, 2017 to 2023 (T2_SLOPE)</t>
  </si>
  <si>
    <t>days per patient per year</t>
  </si>
  <si>
    <t>Verdict (T2_VERDICT)</t>
  </si>
  <si>
    <t>Met = the trend slopes down (falling steadily toward 14)</t>
  </si>
  <si>
    <t>Test 3: new capacity</t>
  </si>
  <si>
    <t>Largest reason (LARGEST_REASON)</t>
  </si>
  <si>
    <t>Top count</t>
  </si>
  <si>
    <t>Reasons at the top count</t>
  </si>
  <si>
    <t>Recorded reasons incomplete</t>
  </si>
  <si>
    <t>Years no bed is largest (T3_YEARS)</t>
  </si>
  <si>
    <t>of 8 years, 2017 to 2024</t>
  </si>
  <si>
    <t>Verdict (T3_VERDICT)</t>
  </si>
  <si>
    <t>Met = more than half of 8 years (5 or more); a tie counts as not largest</t>
  </si>
  <si>
    <t>2017 flag (FLAG_2017_INCOMPLETE)</t>
  </si>
  <si>
    <t>2017 is counted on its recorded reasons (120 of 157) and flagged</t>
  </si>
  <si>
    <t>The model reports each test's verdict. It does not rank or cost the options and does not choose between the add-on and the top-up.</t>
  </si>
  <si>
    <t>Side diagnostic: test 1 on counts (changes no verdict)</t>
  </si>
  <si>
    <t>Financial count change, Dec 2020 to Dec 2021 (T1_FIN_CHANGE_2021)</t>
  </si>
  <si>
    <t>patients, Dec 31</t>
  </si>
  <si>
    <t>Other six reasons change, Dec 2020 to Dec 2021 (T1_OTHER_CHANGE_2021)</t>
  </si>
  <si>
    <t>Financial count change, Dec 2023 to Dec 2024 (T1_FIN_CHANGE_2024)</t>
  </si>
  <si>
    <t>Other six reasons change, Dec 2023 to Dec 2024 (T1_OTHER_CHANGE_2024)</t>
  </si>
  <si>
    <t>Side diagnostic: not a test; no verdict. Chosen on Sep 29, after the results were known (spec Conventions).</t>
  </si>
  <si>
    <t>County: days per patient and share of statewide waitlist days, 2023 and 2024 (reported as one row, not analyzed)</t>
  </si>
  <si>
    <t>County</t>
  </si>
  <si>
    <t>Days per patient 2023</t>
  </si>
  <si>
    <t>Days per patient 2024</t>
  </si>
  <si>
    <t>Share of days 2023</t>
  </si>
  <si>
    <t>Share of days 2024</t>
  </si>
  <si>
    <t>Total share</t>
  </si>
  <si>
    <t>County = the county of the reporting hospital (Table 18 hospital rows summed).</t>
  </si>
  <si>
    <t>Capacity: excess beds against unstaffed long-term-care beds, 2017 to 2024 (a scale comparison, not a sizing)</t>
  </si>
  <si>
    <t>Unstaffed beds per excess bed (CAP_RATIO)</t>
  </si>
  <si>
    <t>Unstaffed for lack of staff, Dec 31, 2024</t>
  </si>
  <si>
    <t>Per excess bed, 2024 (CAP_RATIO_STAFF_2024)</t>
  </si>
  <si>
    <t>Blank where a year has no excess beds (no division by zero).</t>
  </si>
  <si>
    <t>Limits (spec Conventions, Capacity comparison):</t>
  </si>
  <si>
    <t>(1) Excess beds cover the acute waitlist across all levels of care on an average day; unstaffed beds are long-term-care beds on Dec 31. Not a bed-for-bed match.</t>
  </si>
  <si>
    <t>(2) Reopening beds idle for lack of staff is a workforce lever outside the scope; the capacity option is new transitional capacity.</t>
  </si>
  <si>
    <t>(3) Excess days are a lower bound, so excess beds are too.</t>
  </si>
  <si>
    <t>Conditions: condition (a), cost at the gross CMS SNF market basket against the rate at its post-reset pace</t>
  </si>
  <si>
    <t>Cost carried forward (COST_FWD)</t>
  </si>
  <si>
    <t>Rate (RATE_FWD)</t>
  </si>
  <si>
    <t>Gap, 1 - rate / cost (COND_A_GAP)</t>
  </si>
  <si>
    <t>FY2023 (published median)</t>
  </si>
  <si>
    <t>FY2024</t>
  </si>
  <si>
    <t>FY2025</t>
  </si>
  <si>
    <t>FY2026</t>
  </si>
  <si>
    <t>FY2027</t>
  </si>
  <si>
    <t>Post-reset rate pace, Jan 2024 to Jan 2026 (RATE_GROWTH_2024_2026)</t>
  </si>
  <si>
    <t>a year, compounded over two years</t>
  </si>
  <si>
    <t>Rate for FY2026 = the January 2026 median; FY2027 carries it forward at the post-reset pace.</t>
  </si>
  <si>
    <t>Cost is dated July 1 of the fiscal year and the rate January: a half-year mismatch.</t>
  </si>
  <si>
    <t>The market basket is a national Medicare index standing in for Hawaii nursing-home cost growth.</t>
  </si>
  <si>
    <t>Not a forecast; the model does not rank or cost the options (spec Conventions, Condition (a)).</t>
  </si>
  <si>
    <t>FigureData: the exact series each figure plots (figures are drawn from these cells)</t>
  </si>
  <si>
    <t>Figure a: days per patient against the 14-day benchmark</t>
  </si>
  <si>
    <t>Plot date (July 1)</t>
  </si>
  <si>
    <t>Benchmark (days)</t>
  </si>
  <si>
    <t>Rate events (figures a and c)</t>
  </si>
  <si>
    <t>Event</t>
  </si>
  <si>
    <t>Date</t>
  </si>
  <si>
    <t>12% adjustment for private homes</t>
  </si>
  <si>
    <t>Rate reset</t>
  </si>
  <si>
    <t>Figure b: Dec 31 reason shares (of recorded reasons)</t>
  </si>
  <si>
    <t>No bed</t>
  </si>
  <si>
    <t>Behavior</t>
  </si>
  <si>
    <t>Special care</t>
  </si>
  <si>
    <t>Financial</t>
  </si>
  <si>
    <t>Guardianship</t>
  </si>
  <si>
    <t>PASARR</t>
  </si>
  <si>
    <t>Other</t>
  </si>
  <si>
    <t>Bar label</t>
  </si>
  <si>
    <t>Test 1 windows (figure b shading)</t>
  </si>
  <si>
    <t>Window</t>
  </si>
  <si>
    <t>From (Dec 31)</t>
  </si>
  <si>
    <t>To (Dec 31)</t>
  </si>
  <si>
    <t>Across the 12% adjustment</t>
  </si>
  <si>
    <t>Across the reset</t>
  </si>
  <si>
    <t>Figure c (rate): median nursing-facility rate at each scheduled January/July memo slot; blank = missing memo or no median</t>
  </si>
  <si>
    <t>Slot (effective month)</t>
  </si>
  <si>
    <t>Median rate</t>
  </si>
  <si>
    <t>Status</t>
  </si>
  <si>
    <t>Figure c (cost): median cost per patient day, each fiscal year plotted at July 1</t>
  </si>
  <si>
    <t>Medicaid-heavy homes</t>
  </si>
  <si>
    <t>All facilities</t>
  </si>
  <si>
    <t>Figure d: total waitlist days split at the benchmark</t>
  </si>
  <si>
    <t>Within the benchmark</t>
  </si>
  <si>
    <t>Excess</t>
  </si>
  <si>
    <t>Total waitlist days</t>
  </si>
  <si>
    <t>Figure g: schematic, no data (illustrative, not to scale).</t>
  </si>
  <si>
    <t>WorkedExample: synthetic anchor with its own inputs (yellow, not linked to Inputs), same formula shapes as the model</t>
  </si>
  <si>
    <t>Setting</t>
  </si>
  <si>
    <t>Benchmark (days per patient)</t>
  </si>
  <si>
    <t>Test 1 threshold (points)</t>
  </si>
  <si>
    <t>Patients</t>
  </si>
  <si>
    <t>Days, case A (rising)</t>
  </si>
  <si>
    <t>Days, case B (falling)</t>
  </si>
  <si>
    <t>Days per patient, A</t>
  </si>
  <si>
    <t>Days per patient, B</t>
  </si>
  <si>
    <t>Reason</t>
  </si>
  <si>
    <t>Counts, case C (tie)</t>
  </si>
  <si>
    <t>Counts, case D (no tie)</t>
  </si>
  <si>
    <t>Test 1 row</t>
  </si>
  <si>
    <t>Drop, 2021 window (points)</t>
  </si>
  <si>
    <t>Drop, 2024 window (points)</t>
  </si>
  <si>
    <t>E1</t>
  </si>
  <si>
    <t>E2</t>
  </si>
  <si>
    <t>E3</t>
  </si>
  <si>
    <t>E4</t>
  </si>
  <si>
    <t>E5</t>
  </si>
  <si>
    <t>Case</t>
  </si>
  <si>
    <t>Item</t>
  </si>
  <si>
    <t>Computed</t>
  </si>
  <si>
    <t>Expected</t>
  </si>
  <si>
    <t>Match</t>
  </si>
  <si>
    <t>A</t>
  </si>
  <si>
    <t>Days per patient, year 1</t>
  </si>
  <si>
    <t>Days per patient, year 2</t>
  </si>
  <si>
    <t>Days per patient, year 3</t>
  </si>
  <si>
    <t>Signed gap, year 1</t>
  </si>
  <si>
    <t>Signed gap, year 2</t>
  </si>
  <si>
    <t>Signed gap, year 3</t>
  </si>
  <si>
    <t>Excess days, year 1</t>
  </si>
  <si>
    <t>Excess days, year 2</t>
  </si>
  <si>
    <t>Excess days, year 3</t>
  </si>
  <si>
    <t>Days within the benchmark, year 1</t>
  </si>
  <si>
    <t>Days within the benchmark, year 2</t>
  </si>
  <si>
    <t>Days within the benchmark, year 3</t>
  </si>
  <si>
    <t>Meets benchmark, year 1</t>
  </si>
  <si>
    <t>Meets benchmark, year 2</t>
  </si>
  <si>
    <t>Meets benchmark, year 3</t>
  </si>
  <si>
    <t>Slope of days per patient</t>
  </si>
  <si>
    <t>Test 2 verdict</t>
  </si>
  <si>
    <t>B</t>
  </si>
  <si>
    <t>C</t>
  </si>
  <si>
    <t>Largest reason (tie)</t>
  </si>
  <si>
    <t>D</t>
  </si>
  <si>
    <t>Largest reason (no tie)</t>
  </si>
  <si>
    <t>E</t>
  </si>
  <si>
    <t>Test 1 verdict, row E1</t>
  </si>
  <si>
    <t>Test 1 verdict, row E2</t>
  </si>
  <si>
    <t>Test 1 verdict, row E3</t>
  </si>
  <si>
    <t>Test 1 verdict, row E4</t>
  </si>
  <si>
    <t>Test 1 verdict, row E5</t>
  </si>
  <si>
    <t>Rows matching</t>
  </si>
  <si>
    <t>Case E feeds the drops (in points) straight into the verdict formula; the share-to-drop step is covered by the regression anchors on Checks.</t>
  </si>
  <si>
    <t>Checks: regression anchors, invariants and error scans (spec Validation rules)</t>
  </si>
  <si>
    <t>Regression anchors (expected to change when an input is corrected; not part of ALL CHECKS)</t>
  </si>
  <si>
    <t>#</t>
  </si>
  <si>
    <t>Group</t>
  </si>
  <si>
    <t>Check</t>
  </si>
  <si>
    <t>Tolerance</t>
  </si>
  <si>
    <t>Result</t>
  </si>
  <si>
    <t>Anchor</t>
  </si>
  <si>
    <t>DAYS_PER_PT(2023)</t>
  </si>
  <si>
    <t>DAYS_PER_PT(2024)</t>
  </si>
  <si>
    <t>EXCESS_DAYS(2023)</t>
  </si>
  <si>
    <t>EXCESS_DAYS(2024)</t>
  </si>
  <si>
    <t>EXCESS_BEDS(2023) (365 days)</t>
  </si>
  <si>
    <t>EXCESS_BEDS(2024) (366 days)</t>
  </si>
  <si>
    <t>EXCESS_DAYS in 2017, 2018, 2020, 2021 (sum)</t>
  </si>
  <si>
    <t>GAP_PER_PT(2017)</t>
  </si>
  <si>
    <t>GAP_PER_PT(2024)</t>
  </si>
  <si>
    <t>WL_RATE_AVG(2023)</t>
  </si>
  <si>
    <t>WL_RATE_AVG(2024)</t>
  </si>
  <si>
    <t>NET_COST_LO(2024)</t>
  </si>
  <si>
    <t>NET_COST_HI(2024)</t>
  </si>
  <si>
    <t>EXCESS_COST_LO(2024) (about)</t>
  </si>
  <si>
    <t>EXCESS_COST_HI(2024) (about)</t>
  </si>
  <si>
    <t>NET_COST_LO_NOW</t>
  </si>
  <si>
    <t>NET_COST_HI_NOW</t>
  </si>
  <si>
    <t>WL_DAYS_CHANGE_2024</t>
  </si>
  <si>
    <t>T1_DROP_2021 (points)</t>
  </si>
  <si>
    <t>T1_DROP_2024 (points)</t>
  </si>
  <si>
    <t>T2_SLOPE (about)</t>
  </si>
  <si>
    <t>T3_YEARS</t>
  </si>
  <si>
    <t>T3: no bed largest in each of 2017 to 2021</t>
  </si>
  <si>
    <t>REASON_SUM(y) = DEC31_TOTAL(y), 2018 to 2024</t>
  </si>
  <si>
    <t>REASON_SUM(2017)</t>
  </si>
  <si>
    <t>DEC31_TOTAL(2017)</t>
  </si>
  <si>
    <t>KFF_COST_DAY x 0.15 (arithmetic on the input)</t>
  </si>
  <si>
    <t>KFF_COST_DAY x 0.40 (arithmetic on the input)</t>
  </si>
  <si>
    <t>KFF_COST_DAY x 0.15 within rounding (to $10) of AVOID_COST_LO</t>
  </si>
  <si>
    <t>KFF_COST_DAY x 0.40 within rounding (to $10) of AVOID_COST_HI</t>
  </si>
  <si>
    <t>CAP_RATIO(2024)</t>
  </si>
  <si>
    <t>CAP_RATIO_STAFF_2024</t>
  </si>
  <si>
    <t>T1_FIN_CHANGE_2021</t>
  </si>
  <si>
    <t>T1_OTHER_CHANGE_2021</t>
  </si>
  <si>
    <t>T1_FIN_CHANGE_2024</t>
  </si>
  <si>
    <t>T1_OTHER_CHANGE_2024</t>
  </si>
  <si>
    <t>RATE_GROWTH_2024_2026</t>
  </si>
  <si>
    <t>COST_FWD(2026)</t>
  </si>
  <si>
    <t>COST_FWD(2027)</t>
  </si>
  <si>
    <t>COND_A_GAP(2026)</t>
  </si>
  <si>
    <t>COND_A_GAP(2027)</t>
  </si>
  <si>
    <t>Invariants (must pass for any inputs; part of ALL CHECKS)</t>
  </si>
  <si>
    <t>I1</t>
  </si>
  <si>
    <t>The seven SHARE_ values sum to 1, every year</t>
  </si>
  <si>
    <t>I2</t>
  </si>
  <si>
    <t>WITHIN_DAYS + EXCESS_DAYS = WL_DAYS, every year</t>
  </si>
  <si>
    <t>I3</t>
  </si>
  <si>
    <t>EXCESS_DAYS = MAX(0, GAP_PER_PT x WL_PATIENTS), every year (covers 2019 and 2022)</t>
  </si>
  <si>
    <t>I4</t>
  </si>
  <si>
    <t>County CTY_DAYS sum to WL_DAYS, 2023 and 2024</t>
  </si>
  <si>
    <t>I5</t>
  </si>
  <si>
    <t>County CTY_DAY_SHARE sum to 1, 2023 and 2024</t>
  </si>
  <si>
    <t>I6</t>
  </si>
  <si>
    <t>T2_SLOPE = least-squares slope written out by hand, 2017 to 2023</t>
  </si>
  <si>
    <t>I7</t>
  </si>
  <si>
    <t>T3_YEARS recomputed from the counts (no bed above each other reason)</t>
  </si>
  <si>
    <t>I8</t>
  </si>
  <si>
    <t>MEETS_BENCH is TRUE exactly when GAP_PER_PT &lt;= 0, every year</t>
  </si>
  <si>
    <t>I9</t>
  </si>
  <si>
    <t>Every WorkedExample row reads "match"</t>
  </si>
  <si>
    <t>Error scans (count of error values in each sheet's used range; part of ALL CHECKS)</t>
  </si>
  <si>
    <t>Error scan</t>
  </si>
  <si>
    <t>No error values: Inputs (A1:S84)</t>
  </si>
  <si>
    <t>No error values: Waitlist (A1:V19)</t>
  </si>
  <si>
    <t>No error values: Cost (A1:F19)</t>
  </si>
  <si>
    <t>No error values: Tests (A1:F41)</t>
  </si>
  <si>
    <t>No error values: County (A1:F12)</t>
  </si>
  <si>
    <t>No error values: Capacity (A1:E22)</t>
  </si>
  <si>
    <t>No error values: Conditions (A1:F17)</t>
  </si>
  <si>
    <t>No error values: FigureData (A1:J88)</t>
  </si>
  <si>
    <t>No error values: WorkedExample (A1:G62)</t>
  </si>
  <si>
    <t>No error values: Checks (rows 1 to 69, above this row)</t>
  </si>
  <si>
    <t>ALL CHECKS (invariants and error scans)</t>
  </si>
  <si>
    <t>Anchors matching</t>
  </si>
  <si>
    <t>Anchor tolerance = half a unit of the spec's shown precision; invariant tolerance 1e-6. Checked outside the workbook by script (spec Audit findings): every calculated cell is a formula; every spec name exists as an absolute defined name and no others; every input cell is yellow and no calculated cell is.</t>
  </si>
  <si>
    <t>SHPDA 2024 Table 16, pp. 80-82 (staffing rows, Kula counted)</t>
  </si>
  <si>
    <t>Brief (main) lines 19, 81</t>
  </si>
  <si>
    <t>KFF indicator, 2023 timeframe, Hawaii, Non-Profit ($3,663.56)</t>
  </si>
  <si>
    <t>Brief line 51 (15% and 40% of $3,663.56, to nearest $10)</t>
  </si>
  <si>
    <t>QI-2532 p. 2, Attachment A</t>
  </si>
  <si>
    <t>QI-2532 p. 2, Leahi row</t>
  </si>
  <si>
    <t>SPA HI-23-0014, Att. 4.19-D p. 38 (PDF p. 5)</t>
  </si>
  <si>
    <t>SPA Att. 4.19-D p. 38; QI-2342 p. 2</t>
  </si>
  <si>
    <t>Brief line 72</t>
  </si>
  <si>
    <t>Brief line 79</t>
  </si>
  <si>
    <t>T18 2017 p. 72; T16 2017 p. 69</t>
  </si>
  <si>
    <t>T18 2018 p. 82; T16 p. 79</t>
  </si>
  <si>
    <t>T18 2019 p. 82; T16 p. 79</t>
  </si>
  <si>
    <t>T18 2020 p. 85; T16 p. 81</t>
  </si>
  <si>
    <t>T18 2021 p. 87; T16 p. 83</t>
  </si>
  <si>
    <t>T18 2022 p. 86; T16 p. 82</t>
  </si>
  <si>
    <t>T18 2023 p. 86; T16 p. 82; QI-2225 p. 2; QI-2326 p. 2</t>
  </si>
  <si>
    <t>T18 2024 p. 86; T16 p. 82; QI-2342 p. 2; QI-2413 p. 2</t>
  </si>
  <si>
    <t>T18 2023 and 2024, pp. 85-86 (hospital rows summed; county totals)</t>
  </si>
  <si>
    <t>QI-1521 p. 2</t>
  </si>
  <si>
    <t>QI-1607 p. 5</t>
  </si>
  <si>
    <t>QI-1622 p. 2</t>
  </si>
  <si>
    <t>QI-1710 p. 8</t>
  </si>
  <si>
    <t>QI-1809 p. 9</t>
  </si>
  <si>
    <t>QI-1820 p. 5</t>
  </si>
  <si>
    <t>QI-2022 p. 11</t>
  </si>
  <si>
    <t>QI-2113B p. 11</t>
  </si>
  <si>
    <t>QI-2166 p. 7</t>
  </si>
  <si>
    <t>QI-2225 p. 3</t>
  </si>
  <si>
    <t>QI-2326 p. 3</t>
  </si>
  <si>
    <t>QI-2342 p. 3</t>
  </si>
  <si>
    <t>QI-2413 p. 3</t>
  </si>
  <si>
    <t>QI-2427 p. 3</t>
  </si>
  <si>
    <t>QI-2515 p. 3</t>
  </si>
  <si>
    <t>QI-2532 p. 3 (median 495.255, rounded half up)</t>
  </si>
  <si>
    <t>CMS SNF cost report FY20xx (data.cms.gov), Worksheet A; median re-derived</t>
  </si>
  <si>
    <t>CMS-1779-F fact sheet (FY2024)</t>
  </si>
  <si>
    <t>CMS-1802-F fact sheet (FY2025)</t>
  </si>
  <si>
    <t>CMS-1827-F fact sheet (FY2026)</t>
  </si>
  <si>
    <t>CMS-1843-F fact sheet (FY2027)</t>
  </si>
  <si>
    <t>MK</t>
  </si>
  <si>
    <t>Blank by decision: QI-1911B omits Att.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</si>
</sst>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\$#,##0.00"/>
    <numFmt numFmtId="166" formatCode="yyyy\-mm\-dd"/>
    <numFmt numFmtId="167" formatCode="yyyy\-mm"/>
    <numFmt numFmtId="168" formatCode="0.0%"/>
    <numFmt numFmtId="169" formatCode="0.0"/>
    <numFmt numFmtId="170" formatCode="\+#,##0;\-#,##0;0"/>
    <numFmt numFmtId="171" formatCode="\$#,##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3" borderId="0" xfId="0" applyFont="1" applyFill="1"/>
    <xf numFmtId="3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0" fillId="4" borderId="0" xfId="0" applyNumberFormat="1" applyFill="1"/>
    <xf numFmtId="0" fontId="0" fillId="4" borderId="0" xfId="0" applyFill="1"/>
    <xf numFmtId="166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0" fontId="4" fillId="0" borderId="0" xfId="0" applyFont="1" applyAlignment="1">
      <alignment horizontal="center" vertical="center" wrapText="1"/>
    </xf>
    <xf numFmtId="1" fontId="2" fillId="3" borderId="0" xfId="0" applyNumberFormat="1" applyFont="1" applyFill="1"/>
    <xf numFmtId="0" fontId="4" fillId="0" borderId="0" xfId="0" applyFont="1"/>
    <xf numFmtId="167" fontId="2" fillId="3" borderId="0" xfId="0" applyNumberFormat="1" applyFont="1" applyFill="1"/>
    <xf numFmtId="168" fontId="0" fillId="4" borderId="0" xfId="0" applyNumberFormat="1" applyFill="1"/>
    <xf numFmtId="169" fontId="0" fillId="0" borderId="0" xfId="0" applyNumberFormat="1"/>
    <xf numFmtId="168" fontId="0" fillId="0" borderId="0" xfId="0" applyNumberFormat="1"/>
    <xf numFmtId="0" fontId="2" fillId="3" borderId="0" xfId="0" applyFont="1" applyFill="1" applyAlignment="1">
      <alignment vertical="top" wrapText="1"/>
    </xf>
    <xf numFmtId="165" fontId="0" fillId="0" borderId="0" xfId="0" applyNumberFormat="1"/>
    <xf numFmtId="164" fontId="0" fillId="0" borderId="0" xfId="0" applyNumberFormat="1"/>
    <xf numFmtId="170" fontId="0" fillId="0" borderId="0" xfId="0" applyNumberFormat="1"/>
    <xf numFmtId="2" fontId="0" fillId="0" borderId="0" xfId="0" applyNumberFormat="1"/>
    <xf numFmtId="10" fontId="0" fillId="0" borderId="0" xfId="0" applyNumberFormat="1"/>
    <xf numFmtId="166" fontId="0" fillId="0" borderId="0" xfId="0" applyNumberFormat="1"/>
    <xf numFmtId="1" fontId="0" fillId="0" borderId="0" xfId="0" applyNumberFormat="1"/>
    <xf numFmtId="2" fontId="0" fillId="4" borderId="0" xfId="0" applyNumberFormat="1" applyFill="1"/>
    <xf numFmtId="3" fontId="2" fillId="3" borderId="0" xfId="0" applyNumberFormat="1" applyFon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workbookViewId="0">
      <pane xSplit="1" ySplit="1" topLeftCell="F29" activePane="bottomRight" state="frozen"/>
      <selection pane="topRight"/>
      <selection pane="bottomLeft"/>
      <selection pane="bottomRight" activeCell="Q47" sqref="Q47"/>
    </sheetView>
  </sheetViews>
  <sheetFormatPr defaultRowHeight="15" x14ac:dyDescent="0.25"/>
  <cols>
    <col min="1" max="1" width="44" customWidth="1"/>
    <col min="2" max="2" width="14" customWidth="1"/>
    <col min="3" max="3" width="38" customWidth="1"/>
    <col min="4" max="5" width="16" customWidth="1"/>
    <col min="6" max="6" width="14" customWidth="1"/>
    <col min="7" max="7" width="16" customWidth="1"/>
    <col min="8" max="8" width="14" customWidth="1"/>
    <col min="9" max="9" width="16" customWidth="1"/>
    <col min="10" max="14" width="14" customWidth="1"/>
    <col min="15" max="16" width="16" customWidth="1"/>
    <col min="17" max="17" width="14" customWidth="1"/>
    <col min="18" max="18" width="17" customWidth="1"/>
  </cols>
  <sheetData>
    <row r="1" spans="1:18" ht="18.75" x14ac:dyDescent="0.3">
      <c r="A1" s="1" t="s">
        <v>0</v>
      </c>
    </row>
    <row r="2" spans="1:18" x14ac:dyDescent="0.25">
      <c r="A2" s="2" t="s">
        <v>1</v>
      </c>
      <c r="B2" s="3">
        <f>COUNT(R6:R17,R22:R29,R34:R37,R41:R57,R61:R73,R78:R81)</f>
        <v>57</v>
      </c>
      <c r="C2" t="str">
        <f>"of "&amp;(ROWS(R6:R17)+ROWS(R22:R29)+ROWS(R34:R37)+ROWS(R41:R57)+ROWS(R61:R73)+ROWS(R78:R81))</f>
        <v>of 58</v>
      </c>
    </row>
    <row r="4" spans="1:18" x14ac:dyDescent="0.25">
      <c r="A4" s="4" t="s">
        <v>2</v>
      </c>
    </row>
    <row r="5" spans="1:18" x14ac:dyDescent="0.25">
      <c r="A5" s="5" t="s">
        <v>3</v>
      </c>
      <c r="B5" s="5" t="s">
        <v>4</v>
      </c>
      <c r="C5" s="5" t="s">
        <v>5</v>
      </c>
      <c r="D5" s="5" t="s">
        <v>6</v>
      </c>
      <c r="P5" s="5" t="s">
        <v>7</v>
      </c>
      <c r="Q5" s="5" t="s">
        <v>8</v>
      </c>
      <c r="R5" s="5" t="s">
        <v>9</v>
      </c>
    </row>
    <row r="6" spans="1:18" x14ac:dyDescent="0.25">
      <c r="A6" s="2" t="s">
        <v>10</v>
      </c>
      <c r="B6" s="6">
        <v>353</v>
      </c>
      <c r="C6" t="s">
        <v>11</v>
      </c>
      <c r="D6" t="s">
        <v>12</v>
      </c>
      <c r="P6" s="7" t="s">
        <v>413</v>
      </c>
      <c r="Q6" s="7" t="s">
        <v>453</v>
      </c>
      <c r="R6" s="8">
        <v>46294</v>
      </c>
    </row>
    <row r="7" spans="1:18" x14ac:dyDescent="0.25">
      <c r="A7" s="2" t="s">
        <v>13</v>
      </c>
      <c r="B7" s="6">
        <v>14</v>
      </c>
      <c r="C7" t="s">
        <v>14</v>
      </c>
      <c r="D7" t="s">
        <v>15</v>
      </c>
      <c r="P7" s="7" t="s">
        <v>414</v>
      </c>
      <c r="Q7" s="7" t="s">
        <v>453</v>
      </c>
      <c r="R7" s="8">
        <v>46294</v>
      </c>
    </row>
    <row r="8" spans="1:18" x14ac:dyDescent="0.25">
      <c r="A8" s="2" t="s">
        <v>16</v>
      </c>
      <c r="B8" s="9">
        <v>3664</v>
      </c>
      <c r="C8" t="s">
        <v>17</v>
      </c>
      <c r="D8" t="s">
        <v>18</v>
      </c>
      <c r="P8" s="7" t="s">
        <v>415</v>
      </c>
      <c r="Q8" s="7" t="s">
        <v>453</v>
      </c>
      <c r="R8" s="8">
        <v>46294</v>
      </c>
    </row>
    <row r="9" spans="1:18" x14ac:dyDescent="0.25">
      <c r="A9" s="2" t="s">
        <v>19</v>
      </c>
      <c r="B9" s="9">
        <v>550</v>
      </c>
      <c r="C9" t="s">
        <v>20</v>
      </c>
      <c r="D9" t="s">
        <v>21</v>
      </c>
      <c r="P9" s="7" t="s">
        <v>416</v>
      </c>
      <c r="Q9" s="7" t="s">
        <v>453</v>
      </c>
      <c r="R9" s="8">
        <v>46294</v>
      </c>
    </row>
    <row r="10" spans="1:18" x14ac:dyDescent="0.25">
      <c r="A10" s="2" t="s">
        <v>22</v>
      </c>
      <c r="B10" s="9">
        <v>1470</v>
      </c>
      <c r="C10" t="s">
        <v>20</v>
      </c>
      <c r="D10" t="s">
        <v>23</v>
      </c>
      <c r="P10" s="7" t="s">
        <v>416</v>
      </c>
      <c r="Q10" s="7" t="s">
        <v>453</v>
      </c>
      <c r="R10" s="8">
        <v>46294</v>
      </c>
    </row>
    <row r="11" spans="1:18" x14ac:dyDescent="0.25">
      <c r="A11" s="2" t="s">
        <v>24</v>
      </c>
      <c r="B11" s="10">
        <v>486.76</v>
      </c>
      <c r="C11" t="s">
        <v>20</v>
      </c>
      <c r="D11" t="s">
        <v>25</v>
      </c>
      <c r="P11" s="7" t="s">
        <v>417</v>
      </c>
      <c r="Q11" s="7" t="s">
        <v>453</v>
      </c>
      <c r="R11" s="8">
        <v>46294</v>
      </c>
    </row>
    <row r="12" spans="1:18" x14ac:dyDescent="0.25">
      <c r="A12" s="2" t="s">
        <v>26</v>
      </c>
      <c r="B12" s="10">
        <v>480.19</v>
      </c>
      <c r="C12" t="s">
        <v>20</v>
      </c>
      <c r="D12" t="s">
        <v>27</v>
      </c>
      <c r="P12" s="7" t="s">
        <v>418</v>
      </c>
      <c r="Q12" s="7" t="s">
        <v>453</v>
      </c>
      <c r="R12" s="8">
        <v>46294</v>
      </c>
    </row>
    <row r="13" spans="1:18" x14ac:dyDescent="0.25">
      <c r="A13" s="2" t="s">
        <v>28</v>
      </c>
      <c r="B13" s="8">
        <v>44209</v>
      </c>
      <c r="C13" t="s">
        <v>29</v>
      </c>
      <c r="D13" t="s">
        <v>30</v>
      </c>
      <c r="P13" s="7" t="s">
        <v>419</v>
      </c>
      <c r="Q13" s="7" t="s">
        <v>453</v>
      </c>
      <c r="R13" s="8">
        <v>46294</v>
      </c>
    </row>
    <row r="14" spans="1:18" x14ac:dyDescent="0.25">
      <c r="A14" s="2" t="s">
        <v>31</v>
      </c>
      <c r="B14" s="8">
        <v>45292</v>
      </c>
      <c r="C14" t="s">
        <v>29</v>
      </c>
      <c r="D14" t="s">
        <v>32</v>
      </c>
      <c r="P14" s="7" t="s">
        <v>420</v>
      </c>
      <c r="Q14" s="7" t="s">
        <v>453</v>
      </c>
      <c r="R14" s="8">
        <v>46294</v>
      </c>
    </row>
    <row r="15" spans="1:18" x14ac:dyDescent="0.25">
      <c r="A15" s="2" t="s">
        <v>33</v>
      </c>
      <c r="B15" s="6">
        <v>5</v>
      </c>
      <c r="C15" t="s">
        <v>34</v>
      </c>
      <c r="D15" t="s">
        <v>35</v>
      </c>
      <c r="P15" s="7" t="s">
        <v>421</v>
      </c>
      <c r="Q15" s="7" t="s">
        <v>453</v>
      </c>
      <c r="R15" s="8">
        <v>46294</v>
      </c>
    </row>
    <row r="16" spans="1:18" x14ac:dyDescent="0.25">
      <c r="A16" s="2" t="s">
        <v>36</v>
      </c>
      <c r="B16" s="11">
        <v>2020</v>
      </c>
      <c r="C16" t="s">
        <v>37</v>
      </c>
      <c r="D16" t="s">
        <v>38</v>
      </c>
      <c r="P16" s="7" t="s">
        <v>422</v>
      </c>
      <c r="Q16" s="7" t="s">
        <v>453</v>
      </c>
      <c r="R16" s="8">
        <v>46294</v>
      </c>
    </row>
    <row r="17" spans="1:18" x14ac:dyDescent="0.25">
      <c r="A17" s="2" t="s">
        <v>39</v>
      </c>
      <c r="B17" s="11">
        <v>2021</v>
      </c>
      <c r="P17" s="7" t="s">
        <v>422</v>
      </c>
      <c r="Q17" s="7" t="s">
        <v>453</v>
      </c>
      <c r="R17" s="8">
        <v>46294</v>
      </c>
    </row>
    <row r="19" spans="1:18" x14ac:dyDescent="0.25">
      <c r="A19" s="4" t="s">
        <v>40</v>
      </c>
    </row>
    <row r="20" spans="1:18" ht="32.1" customHeight="1" x14ac:dyDescent="0.25">
      <c r="A20" s="5" t="s">
        <v>41</v>
      </c>
      <c r="B20" s="5" t="s">
        <v>42</v>
      </c>
      <c r="C20" s="5" t="s">
        <v>43</v>
      </c>
      <c r="D20" s="5" t="s">
        <v>44</v>
      </c>
      <c r="E20" s="5" t="s">
        <v>45</v>
      </c>
      <c r="F20" s="5" t="s">
        <v>46</v>
      </c>
      <c r="G20" s="5" t="s">
        <v>47</v>
      </c>
      <c r="H20" s="5" t="s">
        <v>48</v>
      </c>
      <c r="I20" s="5" t="s">
        <v>49</v>
      </c>
      <c r="J20" s="5" t="s">
        <v>50</v>
      </c>
      <c r="K20" s="5" t="s">
        <v>51</v>
      </c>
      <c r="L20" s="5" t="s">
        <v>52</v>
      </c>
      <c r="M20" s="5" t="s">
        <v>53</v>
      </c>
      <c r="N20" s="5" t="s">
        <v>54</v>
      </c>
      <c r="O20" s="5" t="s">
        <v>55</v>
      </c>
      <c r="P20" s="5" t="s">
        <v>7</v>
      </c>
      <c r="Q20" s="5" t="s">
        <v>8</v>
      </c>
      <c r="R20" s="5" t="s">
        <v>9</v>
      </c>
    </row>
    <row r="21" spans="1:18" ht="30" customHeight="1" x14ac:dyDescent="0.25">
      <c r="A21" s="2" t="s">
        <v>6</v>
      </c>
      <c r="B21" s="12" t="s">
        <v>56</v>
      </c>
      <c r="C21" s="12" t="s">
        <v>56</v>
      </c>
      <c r="D21" s="12" t="s">
        <v>57</v>
      </c>
      <c r="E21" s="12" t="s">
        <v>58</v>
      </c>
      <c r="F21" s="12" t="s">
        <v>59</v>
      </c>
      <c r="G21" s="12" t="s">
        <v>60</v>
      </c>
      <c r="H21" s="12" t="s">
        <v>61</v>
      </c>
      <c r="I21" s="12" t="s">
        <v>62</v>
      </c>
      <c r="J21" s="12" t="s">
        <v>63</v>
      </c>
      <c r="K21" s="12" t="s">
        <v>64</v>
      </c>
      <c r="L21" s="12" t="s">
        <v>65</v>
      </c>
      <c r="M21" s="12" t="s">
        <v>66</v>
      </c>
      <c r="N21" s="12" t="s">
        <v>67</v>
      </c>
      <c r="O21" s="12" t="s">
        <v>68</v>
      </c>
    </row>
    <row r="22" spans="1:18" x14ac:dyDescent="0.25">
      <c r="A22" s="13">
        <v>2017</v>
      </c>
      <c r="B22" s="6">
        <v>6187</v>
      </c>
      <c r="C22" s="6">
        <v>61470</v>
      </c>
      <c r="D22" s="6">
        <v>39</v>
      </c>
      <c r="E22" s="6">
        <v>16</v>
      </c>
      <c r="F22" s="6">
        <v>23</v>
      </c>
      <c r="G22" s="6">
        <v>18</v>
      </c>
      <c r="H22" s="6">
        <v>11</v>
      </c>
      <c r="I22" s="6">
        <v>2</v>
      </c>
      <c r="J22" s="6">
        <v>11</v>
      </c>
      <c r="K22" s="6">
        <v>157</v>
      </c>
      <c r="M22" s="6">
        <v>128</v>
      </c>
      <c r="P22" s="7" t="s">
        <v>423</v>
      </c>
      <c r="Q22" s="7" t="s">
        <v>453</v>
      </c>
      <c r="R22" s="8">
        <v>46294</v>
      </c>
    </row>
    <row r="23" spans="1:18" x14ac:dyDescent="0.25">
      <c r="A23" s="13">
        <v>2018</v>
      </c>
      <c r="B23" s="6">
        <v>5294</v>
      </c>
      <c r="C23" s="6">
        <v>66091</v>
      </c>
      <c r="D23" s="6">
        <v>57</v>
      </c>
      <c r="E23" s="6">
        <v>29</v>
      </c>
      <c r="F23" s="6">
        <v>17</v>
      </c>
      <c r="G23" s="6">
        <v>31</v>
      </c>
      <c r="H23" s="6">
        <v>18</v>
      </c>
      <c r="I23" s="6">
        <v>2</v>
      </c>
      <c r="J23" s="6">
        <v>17</v>
      </c>
      <c r="K23" s="6">
        <v>171</v>
      </c>
      <c r="M23" s="6">
        <v>160</v>
      </c>
      <c r="P23" s="7" t="s">
        <v>424</v>
      </c>
      <c r="Q23" s="7" t="s">
        <v>453</v>
      </c>
      <c r="R23" s="8">
        <v>46294</v>
      </c>
    </row>
    <row r="24" spans="1:18" x14ac:dyDescent="0.25">
      <c r="A24" s="13">
        <v>2019</v>
      </c>
      <c r="B24" s="6">
        <v>4790</v>
      </c>
      <c r="C24" s="6">
        <v>78911</v>
      </c>
      <c r="D24" s="6">
        <v>72</v>
      </c>
      <c r="E24" s="6">
        <v>27</v>
      </c>
      <c r="F24" s="6">
        <v>21</v>
      </c>
      <c r="G24" s="6">
        <v>32</v>
      </c>
      <c r="H24" s="6">
        <v>26</v>
      </c>
      <c r="I24" s="6">
        <v>0</v>
      </c>
      <c r="J24" s="6">
        <v>6</v>
      </c>
      <c r="K24" s="6">
        <v>184</v>
      </c>
      <c r="M24" s="6">
        <v>248</v>
      </c>
      <c r="P24" s="7" t="s">
        <v>425</v>
      </c>
      <c r="Q24" s="7" t="s">
        <v>453</v>
      </c>
      <c r="R24" s="8">
        <v>46294</v>
      </c>
    </row>
    <row r="25" spans="1:18" x14ac:dyDescent="0.25">
      <c r="A25" s="13">
        <v>2020</v>
      </c>
      <c r="B25" s="6">
        <v>4553</v>
      </c>
      <c r="C25" s="6">
        <v>57297</v>
      </c>
      <c r="D25" s="6">
        <v>41</v>
      </c>
      <c r="E25" s="6">
        <v>24</v>
      </c>
      <c r="F25" s="6">
        <v>22</v>
      </c>
      <c r="G25" s="6">
        <v>30</v>
      </c>
      <c r="H25" s="6">
        <v>15</v>
      </c>
      <c r="I25" s="6">
        <v>0</v>
      </c>
      <c r="J25" s="6">
        <v>12</v>
      </c>
      <c r="K25" s="6">
        <v>144</v>
      </c>
      <c r="M25" s="6">
        <v>462</v>
      </c>
      <c r="P25" s="7" t="s">
        <v>426</v>
      </c>
      <c r="Q25" s="7" t="s">
        <v>453</v>
      </c>
      <c r="R25" s="8">
        <v>46294</v>
      </c>
    </row>
    <row r="26" spans="1:18" x14ac:dyDescent="0.25">
      <c r="A26" s="13">
        <v>2021</v>
      </c>
      <c r="B26" s="6">
        <v>4927</v>
      </c>
      <c r="C26" s="6">
        <v>60050</v>
      </c>
      <c r="D26" s="6">
        <v>50</v>
      </c>
      <c r="E26" s="6">
        <v>36</v>
      </c>
      <c r="F26" s="6">
        <v>22</v>
      </c>
      <c r="G26" s="6">
        <v>43</v>
      </c>
      <c r="H26" s="6">
        <v>20</v>
      </c>
      <c r="I26" s="6">
        <v>0</v>
      </c>
      <c r="J26" s="6">
        <v>18</v>
      </c>
      <c r="K26" s="6">
        <v>189</v>
      </c>
      <c r="M26" s="6">
        <v>614</v>
      </c>
      <c r="P26" s="7" t="s">
        <v>427</v>
      </c>
      <c r="Q26" s="7" t="s">
        <v>453</v>
      </c>
      <c r="R26" s="8">
        <v>46294</v>
      </c>
    </row>
    <row r="27" spans="1:18" x14ac:dyDescent="0.25">
      <c r="A27" s="13">
        <v>2022</v>
      </c>
      <c r="B27" s="6">
        <v>3681</v>
      </c>
      <c r="C27" s="6">
        <v>78561</v>
      </c>
      <c r="D27" s="6">
        <v>57</v>
      </c>
      <c r="E27" s="6">
        <v>35</v>
      </c>
      <c r="F27" s="6">
        <v>39</v>
      </c>
      <c r="G27" s="6">
        <v>75</v>
      </c>
      <c r="H27" s="6">
        <v>29</v>
      </c>
      <c r="I27" s="6">
        <v>5</v>
      </c>
      <c r="J27" s="6">
        <v>10</v>
      </c>
      <c r="K27" s="6">
        <v>250</v>
      </c>
      <c r="M27" s="6">
        <v>661</v>
      </c>
      <c r="P27" s="7" t="s">
        <v>428</v>
      </c>
      <c r="Q27" s="7" t="s">
        <v>453</v>
      </c>
      <c r="R27" s="8">
        <v>46294</v>
      </c>
    </row>
    <row r="28" spans="1:18" x14ac:dyDescent="0.25">
      <c r="A28" s="13">
        <v>2023</v>
      </c>
      <c r="B28" s="6">
        <v>3610</v>
      </c>
      <c r="C28" s="6">
        <v>83097</v>
      </c>
      <c r="D28" s="6">
        <v>42</v>
      </c>
      <c r="E28" s="6">
        <v>48</v>
      </c>
      <c r="F28" s="6">
        <v>26</v>
      </c>
      <c r="G28" s="6">
        <v>45</v>
      </c>
      <c r="H28" s="6">
        <v>28</v>
      </c>
      <c r="I28" s="6">
        <v>1</v>
      </c>
      <c r="J28" s="6">
        <v>1</v>
      </c>
      <c r="K28" s="6">
        <v>191</v>
      </c>
      <c r="L28" s="6">
        <v>157</v>
      </c>
      <c r="M28" s="6">
        <v>510</v>
      </c>
      <c r="N28" s="10">
        <v>283.60000000000002</v>
      </c>
      <c r="O28" s="10">
        <v>302.89</v>
      </c>
      <c r="P28" s="7" t="s">
        <v>429</v>
      </c>
      <c r="Q28" s="7" t="s">
        <v>453</v>
      </c>
      <c r="R28" s="8">
        <v>46294</v>
      </c>
    </row>
    <row r="29" spans="1:18" x14ac:dyDescent="0.25">
      <c r="A29" s="13">
        <v>2024</v>
      </c>
      <c r="B29" s="6">
        <v>3123</v>
      </c>
      <c r="C29" s="6">
        <v>60876</v>
      </c>
      <c r="D29" s="6">
        <v>31</v>
      </c>
      <c r="E29" s="6">
        <v>29</v>
      </c>
      <c r="F29" s="6">
        <v>18</v>
      </c>
      <c r="G29" s="6">
        <v>60</v>
      </c>
      <c r="H29" s="6">
        <v>31</v>
      </c>
      <c r="I29" s="6">
        <v>0</v>
      </c>
      <c r="J29" s="6">
        <v>4</v>
      </c>
      <c r="K29" s="6">
        <v>173</v>
      </c>
      <c r="L29" s="6">
        <v>120</v>
      </c>
      <c r="M29" s="6">
        <v>548</v>
      </c>
      <c r="N29" s="10">
        <v>464.97</v>
      </c>
      <c r="O29" s="10">
        <v>455.59</v>
      </c>
      <c r="P29" s="7" t="s">
        <v>430</v>
      </c>
      <c r="Q29" s="7" t="s">
        <v>453</v>
      </c>
      <c r="R29" s="8">
        <v>46294</v>
      </c>
    </row>
    <row r="30" spans="1:18" x14ac:dyDescent="0.25">
      <c r="A30" s="14" t="s">
        <v>69</v>
      </c>
    </row>
    <row r="32" spans="1:18" x14ac:dyDescent="0.25">
      <c r="A32" s="4" t="s">
        <v>70</v>
      </c>
    </row>
    <row r="33" spans="1:18" ht="32.1" customHeight="1" x14ac:dyDescent="0.25">
      <c r="A33" s="5" t="s">
        <v>71</v>
      </c>
      <c r="B33" s="5" t="s">
        <v>72</v>
      </c>
      <c r="C33" s="5" t="s">
        <v>73</v>
      </c>
      <c r="D33" s="5" t="s">
        <v>74</v>
      </c>
      <c r="E33" s="5" t="s">
        <v>75</v>
      </c>
      <c r="P33" s="5" t="s">
        <v>7</v>
      </c>
      <c r="Q33" s="5" t="s">
        <v>8</v>
      </c>
      <c r="R33" s="5" t="s">
        <v>9</v>
      </c>
    </row>
    <row r="34" spans="1:18" x14ac:dyDescent="0.25">
      <c r="A34" s="2" t="s">
        <v>76</v>
      </c>
      <c r="B34" s="6">
        <v>869</v>
      </c>
      <c r="C34" s="6">
        <v>727</v>
      </c>
      <c r="D34" s="6">
        <v>23212</v>
      </c>
      <c r="E34" s="6">
        <v>20174</v>
      </c>
      <c r="P34" s="7" t="s">
        <v>431</v>
      </c>
      <c r="Q34" s="7" t="s">
        <v>453</v>
      </c>
      <c r="R34" s="8">
        <v>46294</v>
      </c>
    </row>
    <row r="35" spans="1:18" x14ac:dyDescent="0.25">
      <c r="A35" s="2" t="s">
        <v>77</v>
      </c>
      <c r="B35" s="6">
        <v>2255</v>
      </c>
      <c r="C35" s="6">
        <v>1979</v>
      </c>
      <c r="D35" s="6">
        <v>40327</v>
      </c>
      <c r="E35" s="6">
        <v>27380</v>
      </c>
      <c r="P35" s="7" t="s">
        <v>431</v>
      </c>
      <c r="Q35" s="7" t="s">
        <v>453</v>
      </c>
      <c r="R35" s="8">
        <v>46294</v>
      </c>
    </row>
    <row r="36" spans="1:18" x14ac:dyDescent="0.25">
      <c r="A36" s="2" t="s">
        <v>78</v>
      </c>
      <c r="B36" s="6">
        <v>86</v>
      </c>
      <c r="C36" s="6">
        <v>64</v>
      </c>
      <c r="D36" s="6">
        <v>1720</v>
      </c>
      <c r="E36" s="6">
        <v>1927</v>
      </c>
      <c r="P36" s="7" t="s">
        <v>431</v>
      </c>
      <c r="Q36" s="7" t="s">
        <v>453</v>
      </c>
      <c r="R36" s="8">
        <v>46294</v>
      </c>
    </row>
    <row r="37" spans="1:18" x14ac:dyDescent="0.25">
      <c r="A37" s="2" t="s">
        <v>79</v>
      </c>
      <c r="B37" s="6">
        <v>400</v>
      </c>
      <c r="C37" s="6">
        <v>353</v>
      </c>
      <c r="D37" s="6">
        <v>17838</v>
      </c>
      <c r="E37" s="6">
        <v>11395</v>
      </c>
      <c r="P37" s="7" t="s">
        <v>431</v>
      </c>
      <c r="Q37" s="7" t="s">
        <v>453</v>
      </c>
      <c r="R37" s="8">
        <v>46294</v>
      </c>
    </row>
    <row r="39" spans="1:18" x14ac:dyDescent="0.25">
      <c r="A39" s="4" t="s">
        <v>80</v>
      </c>
    </row>
    <row r="40" spans="1:18" ht="32.1" customHeight="1" x14ac:dyDescent="0.25">
      <c r="A40" s="5" t="s">
        <v>81</v>
      </c>
      <c r="B40" s="5" t="s">
        <v>82</v>
      </c>
      <c r="C40" s="5" t="s">
        <v>83</v>
      </c>
      <c r="P40" s="5" t="s">
        <v>7</v>
      </c>
      <c r="Q40" s="5" t="s">
        <v>8</v>
      </c>
      <c r="R40" s="5" t="s">
        <v>9</v>
      </c>
    </row>
    <row r="41" spans="1:18" x14ac:dyDescent="0.25">
      <c r="A41" s="15">
        <v>42370</v>
      </c>
      <c r="B41" s="2" t="s">
        <v>84</v>
      </c>
      <c r="C41" s="10">
        <v>246.97</v>
      </c>
      <c r="P41" s="7" t="s">
        <v>432</v>
      </c>
      <c r="Q41" s="7" t="s">
        <v>453</v>
      </c>
      <c r="R41" s="8">
        <v>46294</v>
      </c>
    </row>
    <row r="42" spans="1:18" x14ac:dyDescent="0.25">
      <c r="A42" s="15">
        <v>42552</v>
      </c>
      <c r="B42" s="2" t="s">
        <v>85</v>
      </c>
      <c r="C42" s="10">
        <v>252.4</v>
      </c>
      <c r="P42" s="7" t="s">
        <v>433</v>
      </c>
      <c r="Q42" s="7" t="s">
        <v>453</v>
      </c>
      <c r="R42" s="8">
        <v>46294</v>
      </c>
    </row>
    <row r="43" spans="1:18" x14ac:dyDescent="0.25">
      <c r="A43" s="15">
        <v>42736</v>
      </c>
      <c r="B43" s="2" t="s">
        <v>86</v>
      </c>
      <c r="C43" s="10">
        <v>251.93</v>
      </c>
      <c r="P43" s="7" t="s">
        <v>434</v>
      </c>
      <c r="Q43" s="7" t="s">
        <v>453</v>
      </c>
      <c r="R43" s="8">
        <v>46294</v>
      </c>
    </row>
    <row r="44" spans="1:18" x14ac:dyDescent="0.25">
      <c r="A44" s="15">
        <v>42917</v>
      </c>
      <c r="B44" s="2" t="s">
        <v>87</v>
      </c>
      <c r="C44" s="10">
        <v>261.45</v>
      </c>
      <c r="P44" s="7" t="s">
        <v>435</v>
      </c>
      <c r="Q44" s="7" t="s">
        <v>453</v>
      </c>
      <c r="R44" s="8">
        <v>46294</v>
      </c>
    </row>
    <row r="45" spans="1:18" x14ac:dyDescent="0.25">
      <c r="A45" s="15">
        <v>43282</v>
      </c>
      <c r="B45" s="2" t="s">
        <v>88</v>
      </c>
      <c r="C45" s="10">
        <v>270.66000000000003</v>
      </c>
      <c r="P45" s="7" t="s">
        <v>436</v>
      </c>
      <c r="Q45" s="7" t="s">
        <v>453</v>
      </c>
      <c r="R45" s="8">
        <v>46294</v>
      </c>
    </row>
    <row r="46" spans="1:18" x14ac:dyDescent="0.25">
      <c r="A46" s="15">
        <v>43466</v>
      </c>
      <c r="B46" s="2" t="s">
        <v>89</v>
      </c>
      <c r="C46" s="10">
        <v>270.14999999999998</v>
      </c>
      <c r="P46" s="7" t="s">
        <v>437</v>
      </c>
      <c r="Q46" s="7" t="s">
        <v>453</v>
      </c>
      <c r="R46" s="8">
        <v>46294</v>
      </c>
    </row>
    <row r="47" spans="1:18" x14ac:dyDescent="0.25">
      <c r="A47" s="15">
        <v>43647</v>
      </c>
      <c r="B47" s="2" t="s">
        <v>90</v>
      </c>
      <c r="C47" s="7"/>
      <c r="D47" s="14" t="s">
        <v>91</v>
      </c>
      <c r="P47" s="7" t="s">
        <v>454</v>
      </c>
      <c r="Q47" s="7" t="s">
        <v>453</v>
      </c>
      <c r="R47" s="8"/>
    </row>
    <row r="48" spans="1:18" x14ac:dyDescent="0.25">
      <c r="A48" s="15">
        <v>44013</v>
      </c>
      <c r="B48" s="2" t="s">
        <v>92</v>
      </c>
      <c r="C48" s="10">
        <v>282.98</v>
      </c>
      <c r="P48" s="7" t="s">
        <v>438</v>
      </c>
      <c r="Q48" s="7" t="s">
        <v>453</v>
      </c>
      <c r="R48" s="8">
        <v>46294</v>
      </c>
    </row>
    <row r="49" spans="1:18" x14ac:dyDescent="0.25">
      <c r="A49" s="15">
        <v>44378</v>
      </c>
      <c r="B49" s="2" t="s">
        <v>93</v>
      </c>
      <c r="C49" s="10">
        <v>334.75</v>
      </c>
      <c r="P49" s="7" t="s">
        <v>439</v>
      </c>
      <c r="Q49" s="7" t="s">
        <v>453</v>
      </c>
      <c r="R49" s="8">
        <v>46294</v>
      </c>
    </row>
    <row r="50" spans="1:18" x14ac:dyDescent="0.25">
      <c r="A50" s="15">
        <v>44562</v>
      </c>
      <c r="B50" s="2" t="s">
        <v>94</v>
      </c>
      <c r="C50" s="10">
        <v>332.59</v>
      </c>
      <c r="P50" s="7" t="s">
        <v>440</v>
      </c>
      <c r="Q50" s="7" t="s">
        <v>453</v>
      </c>
      <c r="R50" s="8">
        <v>46294</v>
      </c>
    </row>
    <row r="51" spans="1:18" x14ac:dyDescent="0.25">
      <c r="A51" s="15">
        <v>44927</v>
      </c>
      <c r="B51" s="2" t="s">
        <v>95</v>
      </c>
      <c r="C51" s="10">
        <v>355.11</v>
      </c>
      <c r="P51" s="7" t="s">
        <v>441</v>
      </c>
      <c r="Q51" s="7" t="s">
        <v>453</v>
      </c>
      <c r="R51" s="8">
        <v>46294</v>
      </c>
    </row>
    <row r="52" spans="1:18" x14ac:dyDescent="0.25">
      <c r="A52" s="15">
        <v>45108</v>
      </c>
      <c r="B52" s="2" t="s">
        <v>96</v>
      </c>
      <c r="C52" s="10">
        <v>371.99</v>
      </c>
      <c r="P52" s="7" t="s">
        <v>442</v>
      </c>
      <c r="Q52" s="7" t="s">
        <v>453</v>
      </c>
      <c r="R52" s="8">
        <v>46294</v>
      </c>
    </row>
    <row r="53" spans="1:18" x14ac:dyDescent="0.25">
      <c r="A53" s="15">
        <v>45292</v>
      </c>
      <c r="B53" s="2" t="s">
        <v>97</v>
      </c>
      <c r="C53" s="10">
        <v>481.83</v>
      </c>
      <c r="P53" s="7" t="s">
        <v>443</v>
      </c>
      <c r="Q53" s="7" t="s">
        <v>453</v>
      </c>
      <c r="R53" s="8">
        <v>46294</v>
      </c>
    </row>
    <row r="54" spans="1:18" x14ac:dyDescent="0.25">
      <c r="A54" s="15">
        <v>45474</v>
      </c>
      <c r="B54" s="2" t="s">
        <v>98</v>
      </c>
      <c r="C54" s="10">
        <v>482.2</v>
      </c>
      <c r="P54" s="7" t="s">
        <v>444</v>
      </c>
      <c r="Q54" s="7" t="s">
        <v>453</v>
      </c>
      <c r="R54" s="8">
        <v>46294</v>
      </c>
    </row>
    <row r="55" spans="1:18" x14ac:dyDescent="0.25">
      <c r="A55" s="15">
        <v>45658</v>
      </c>
      <c r="B55" s="2" t="s">
        <v>99</v>
      </c>
      <c r="C55" s="10">
        <v>509.69</v>
      </c>
      <c r="P55" s="7" t="s">
        <v>445</v>
      </c>
      <c r="Q55" s="7" t="s">
        <v>453</v>
      </c>
      <c r="R55" s="8">
        <v>46294</v>
      </c>
    </row>
    <row r="56" spans="1:18" x14ac:dyDescent="0.25">
      <c r="A56" s="15">
        <v>45839</v>
      </c>
      <c r="B56" s="2" t="s">
        <v>100</v>
      </c>
      <c r="C56" s="10">
        <v>506.65</v>
      </c>
      <c r="P56" s="7" t="s">
        <v>446</v>
      </c>
      <c r="Q56" s="7" t="s">
        <v>453</v>
      </c>
      <c r="R56" s="8">
        <v>46294</v>
      </c>
    </row>
    <row r="57" spans="1:18" x14ac:dyDescent="0.25">
      <c r="A57" s="15">
        <v>46023</v>
      </c>
      <c r="B57" s="2" t="s">
        <v>101</v>
      </c>
      <c r="C57" s="10">
        <v>495.26</v>
      </c>
      <c r="P57" s="7" t="s">
        <v>447</v>
      </c>
      <c r="Q57" s="7" t="s">
        <v>453</v>
      </c>
      <c r="R57" s="8">
        <v>46294</v>
      </c>
    </row>
    <row r="59" spans="1:18" x14ac:dyDescent="0.25">
      <c r="A59" s="4" t="s">
        <v>102</v>
      </c>
    </row>
    <row r="60" spans="1:18" ht="32.1" customHeight="1" x14ac:dyDescent="0.25">
      <c r="A60" s="5" t="s">
        <v>103</v>
      </c>
      <c r="B60" s="5" t="s">
        <v>104</v>
      </c>
      <c r="C60" s="5" t="s">
        <v>105</v>
      </c>
      <c r="P60" s="5" t="s">
        <v>7</v>
      </c>
      <c r="Q60" s="5" t="s">
        <v>8</v>
      </c>
      <c r="R60" s="5" t="s">
        <v>9</v>
      </c>
    </row>
    <row r="61" spans="1:18" x14ac:dyDescent="0.25">
      <c r="A61" s="13">
        <v>2011</v>
      </c>
      <c r="B61" s="10">
        <v>295.13</v>
      </c>
      <c r="C61" s="10">
        <v>287.76</v>
      </c>
      <c r="P61" s="7" t="s">
        <v>448</v>
      </c>
      <c r="Q61" s="7" t="s">
        <v>453</v>
      </c>
      <c r="R61" s="8">
        <v>46294</v>
      </c>
    </row>
    <row r="62" spans="1:18" x14ac:dyDescent="0.25">
      <c r="A62" s="13">
        <v>2012</v>
      </c>
      <c r="B62" s="10">
        <v>314.68</v>
      </c>
      <c r="C62" s="10">
        <v>311.89</v>
      </c>
      <c r="P62" s="7" t="s">
        <v>448</v>
      </c>
      <c r="Q62" s="7" t="s">
        <v>453</v>
      </c>
      <c r="R62" s="8">
        <v>46294</v>
      </c>
    </row>
    <row r="63" spans="1:18" x14ac:dyDescent="0.25">
      <c r="A63" s="13">
        <v>2013</v>
      </c>
      <c r="B63" s="10">
        <v>342.42</v>
      </c>
      <c r="C63" s="10">
        <v>322.2</v>
      </c>
      <c r="P63" s="7" t="s">
        <v>448</v>
      </c>
      <c r="Q63" s="7" t="s">
        <v>453</v>
      </c>
      <c r="R63" s="8">
        <v>46294</v>
      </c>
    </row>
    <row r="64" spans="1:18" x14ac:dyDescent="0.25">
      <c r="A64" s="13">
        <v>2014</v>
      </c>
      <c r="B64" s="10">
        <v>344.19</v>
      </c>
      <c r="C64" s="10">
        <v>322.2</v>
      </c>
      <c r="P64" s="7" t="s">
        <v>448</v>
      </c>
      <c r="Q64" s="7" t="s">
        <v>453</v>
      </c>
      <c r="R64" s="8">
        <v>46294</v>
      </c>
    </row>
    <row r="65" spans="1:18" x14ac:dyDescent="0.25">
      <c r="A65" s="13">
        <v>2015</v>
      </c>
      <c r="B65" s="10">
        <v>340.9</v>
      </c>
      <c r="C65" s="10">
        <v>322.10000000000002</v>
      </c>
      <c r="P65" s="7" t="s">
        <v>448</v>
      </c>
      <c r="Q65" s="7" t="s">
        <v>453</v>
      </c>
      <c r="R65" s="8">
        <v>46294</v>
      </c>
    </row>
    <row r="66" spans="1:18" x14ac:dyDescent="0.25">
      <c r="A66" s="13">
        <v>2016</v>
      </c>
      <c r="B66" s="10">
        <v>358.8</v>
      </c>
      <c r="C66" s="10">
        <v>344.38</v>
      </c>
      <c r="P66" s="7" t="s">
        <v>448</v>
      </c>
      <c r="Q66" s="7" t="s">
        <v>453</v>
      </c>
      <c r="R66" s="8">
        <v>46294</v>
      </c>
    </row>
    <row r="67" spans="1:18" x14ac:dyDescent="0.25">
      <c r="A67" s="13">
        <v>2017</v>
      </c>
      <c r="B67" s="10">
        <v>376.01</v>
      </c>
      <c r="C67" s="10">
        <v>356.1</v>
      </c>
      <c r="P67" s="7" t="s">
        <v>448</v>
      </c>
      <c r="Q67" s="7" t="s">
        <v>453</v>
      </c>
      <c r="R67" s="8">
        <v>46294</v>
      </c>
    </row>
    <row r="68" spans="1:18" x14ac:dyDescent="0.25">
      <c r="A68" s="13">
        <v>2018</v>
      </c>
      <c r="B68" s="10">
        <v>380.99</v>
      </c>
      <c r="C68" s="10">
        <v>365.93</v>
      </c>
      <c r="P68" s="7" t="s">
        <v>448</v>
      </c>
      <c r="Q68" s="7" t="s">
        <v>453</v>
      </c>
      <c r="R68" s="8">
        <v>46294</v>
      </c>
    </row>
    <row r="69" spans="1:18" x14ac:dyDescent="0.25">
      <c r="A69" s="13">
        <v>2019</v>
      </c>
      <c r="B69" s="10">
        <v>379.87</v>
      </c>
      <c r="C69" s="10">
        <v>373.25</v>
      </c>
      <c r="P69" s="7" t="s">
        <v>448</v>
      </c>
      <c r="Q69" s="7" t="s">
        <v>453</v>
      </c>
      <c r="R69" s="8">
        <v>46294</v>
      </c>
    </row>
    <row r="70" spans="1:18" x14ac:dyDescent="0.25">
      <c r="A70" s="13">
        <v>2020</v>
      </c>
      <c r="B70" s="10">
        <v>428.4</v>
      </c>
      <c r="C70" s="10">
        <v>398.33</v>
      </c>
      <c r="P70" s="7" t="s">
        <v>448</v>
      </c>
      <c r="Q70" s="7" t="s">
        <v>453</v>
      </c>
      <c r="R70" s="8">
        <v>46294</v>
      </c>
    </row>
    <row r="71" spans="1:18" x14ac:dyDescent="0.25">
      <c r="A71" s="13">
        <v>2021</v>
      </c>
      <c r="B71" s="10">
        <v>450.4</v>
      </c>
      <c r="C71" s="10">
        <v>423.44</v>
      </c>
      <c r="P71" s="7" t="s">
        <v>448</v>
      </c>
      <c r="Q71" s="7" t="s">
        <v>453</v>
      </c>
      <c r="R71" s="8">
        <v>46294</v>
      </c>
    </row>
    <row r="72" spans="1:18" x14ac:dyDescent="0.25">
      <c r="A72" s="13">
        <v>2022</v>
      </c>
      <c r="B72" s="10">
        <v>459.47</v>
      </c>
      <c r="C72" s="10">
        <v>435.63</v>
      </c>
      <c r="P72" s="7" t="s">
        <v>448</v>
      </c>
      <c r="Q72" s="7" t="s">
        <v>453</v>
      </c>
      <c r="R72" s="8">
        <v>46294</v>
      </c>
    </row>
    <row r="73" spans="1:18" x14ac:dyDescent="0.25">
      <c r="A73" s="13">
        <v>2023</v>
      </c>
      <c r="B73" s="10">
        <v>519.16</v>
      </c>
      <c r="C73" s="10">
        <v>461.79</v>
      </c>
      <c r="P73" s="7" t="s">
        <v>448</v>
      </c>
      <c r="Q73" s="7" t="s">
        <v>453</v>
      </c>
      <c r="R73" s="8">
        <v>46294</v>
      </c>
    </row>
    <row r="74" spans="1:18" x14ac:dyDescent="0.25">
      <c r="A74" s="14" t="s">
        <v>106</v>
      </c>
    </row>
    <row r="76" spans="1:18" x14ac:dyDescent="0.25">
      <c r="A76" s="4" t="s">
        <v>107</v>
      </c>
    </row>
    <row r="77" spans="1:18" x14ac:dyDescent="0.25">
      <c r="A77" s="5" t="s">
        <v>108</v>
      </c>
      <c r="B77" s="5" t="s">
        <v>109</v>
      </c>
      <c r="C77" s="5" t="s">
        <v>6</v>
      </c>
      <c r="P77" s="5" t="s">
        <v>7</v>
      </c>
      <c r="Q77" s="5" t="s">
        <v>8</v>
      </c>
      <c r="R77" s="5" t="s">
        <v>9</v>
      </c>
    </row>
    <row r="78" spans="1:18" x14ac:dyDescent="0.25">
      <c r="A78" s="13">
        <v>2024</v>
      </c>
      <c r="B78" s="16">
        <v>0.03</v>
      </c>
      <c r="C78" t="s">
        <v>110</v>
      </c>
      <c r="P78" s="7" t="s">
        <v>449</v>
      </c>
      <c r="Q78" s="7" t="s">
        <v>453</v>
      </c>
      <c r="R78" s="8">
        <v>46294</v>
      </c>
    </row>
    <row r="79" spans="1:18" x14ac:dyDescent="0.25">
      <c r="A79" s="13">
        <v>2025</v>
      </c>
      <c r="B79" s="16">
        <v>0.03</v>
      </c>
      <c r="C79" t="s">
        <v>111</v>
      </c>
      <c r="P79" s="7" t="s">
        <v>450</v>
      </c>
      <c r="Q79" s="7" t="s">
        <v>453</v>
      </c>
      <c r="R79" s="8">
        <v>46294</v>
      </c>
    </row>
    <row r="80" spans="1:18" x14ac:dyDescent="0.25">
      <c r="A80" s="13">
        <v>2026</v>
      </c>
      <c r="B80" s="16">
        <v>3.3000000000000002E-2</v>
      </c>
      <c r="C80" t="s">
        <v>112</v>
      </c>
      <c r="P80" s="7" t="s">
        <v>451</v>
      </c>
      <c r="Q80" s="7" t="s">
        <v>453</v>
      </c>
      <c r="R80" s="8">
        <v>46294</v>
      </c>
    </row>
    <row r="81" spans="1:18" x14ac:dyDescent="0.25">
      <c r="A81" s="13">
        <v>2027</v>
      </c>
      <c r="B81" s="16">
        <v>3.3000000000000002E-2</v>
      </c>
      <c r="C81" t="s">
        <v>113</v>
      </c>
      <c r="P81" s="7" t="s">
        <v>452</v>
      </c>
      <c r="Q81" s="7" t="s">
        <v>453</v>
      </c>
      <c r="R81" s="8">
        <v>46294</v>
      </c>
    </row>
    <row r="82" spans="1:18" x14ac:dyDescent="0.25">
      <c r="A82" s="14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1" width="13" customWidth="1"/>
  </cols>
  <sheetData>
    <row r="1" spans="1:21" ht="18.75" x14ac:dyDescent="0.3">
      <c r="A1" s="1" t="s">
        <v>115</v>
      </c>
    </row>
    <row r="3" spans="1:21" ht="45" customHeight="1" x14ac:dyDescent="0.25">
      <c r="A3" s="5" t="s">
        <v>41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120</v>
      </c>
      <c r="G3" s="5" t="s">
        <v>121</v>
      </c>
      <c r="H3" s="5" t="s">
        <v>122</v>
      </c>
      <c r="I3" s="5" t="s">
        <v>123</v>
      </c>
      <c r="J3" s="5" t="s">
        <v>124</v>
      </c>
      <c r="K3" s="5" t="s">
        <v>125</v>
      </c>
      <c r="L3" s="5" t="s">
        <v>126</v>
      </c>
      <c r="M3" s="5" t="s">
        <v>127</v>
      </c>
      <c r="N3" s="5" t="s">
        <v>128</v>
      </c>
      <c r="O3" s="5" t="s">
        <v>129</v>
      </c>
      <c r="P3" s="5" t="s">
        <v>130</v>
      </c>
      <c r="Q3" s="5" t="s">
        <v>131</v>
      </c>
      <c r="R3" s="5" t="s">
        <v>132</v>
      </c>
      <c r="S3" s="5" t="s">
        <v>133</v>
      </c>
      <c r="T3" s="5" t="s">
        <v>134</v>
      </c>
      <c r="U3" s="5" t="s">
        <v>135</v>
      </c>
    </row>
    <row r="4" spans="1:21" x14ac:dyDescent="0.25">
      <c r="A4" s="13">
        <f>INDEX(YEAR,1)</f>
        <v>2017</v>
      </c>
      <c r="B4" s="17">
        <f>INDEX(WL_DAYS,1)/INDEX(WL_PATIENTS,1)</f>
        <v>9.935348310974625</v>
      </c>
      <c r="C4" s="3">
        <f>INDEX(WL_PATIENTS,1)*BENCH_DAYS</f>
        <v>86618</v>
      </c>
      <c r="D4" s="17">
        <f>INDEX(DAYS_PER_PT,1)-BENCH_DAYS</f>
        <v>-4.064651689025375</v>
      </c>
      <c r="E4" s="3">
        <f>INDEX(WL_DAYS,1)</f>
        <v>61470</v>
      </c>
      <c r="F4" s="3">
        <f>MAX(0,INDEX(WL_DAYS,1)-INDEX(BENCH_TOTAL,1))</f>
        <v>0</v>
      </c>
      <c r="G4" s="3">
        <f>INDEX(WL_DAYS,1)-INDEX(EXCESS_DAYS,1)</f>
        <v>61470</v>
      </c>
      <c r="H4" s="18">
        <f>INDEX(EXCESS_DAYS,1)/INDEX(WL_DAYS,1)</f>
        <v>0</v>
      </c>
      <c r="I4" s="3">
        <f>DATE(INDEX(YEAR,1)+1,1,1)-DATE(INDEX(YEAR,1),1,1)</f>
        <v>365</v>
      </c>
      <c r="J4" s="17">
        <f>INDEX(EXCESS_DAYS,1)/INDEX(DAYS_IN_YEAR,1)</f>
        <v>0</v>
      </c>
      <c r="K4" t="b">
        <f>INDEX(DAYS_PER_PT,1)&lt;=BENCH_DAYS</f>
        <v>1</v>
      </c>
      <c r="L4" s="3">
        <f>INDEX(REASON_NO_BED,1)+INDEX(REASON_BEHAVIOR,1)+INDEX(REASON_SPECIAL_CARE,1)+INDEX(REASON_FINANCIAL,1)+INDEX(REASON_GUARDIANSHIP,1)+INDEX(REASON_PASARR,1)+INDEX(REASON_OTHER,1)</f>
        <v>120</v>
      </c>
      <c r="M4" s="18">
        <f>INDEX(REASON_NO_BED,1)/INDEX(REASON_SUM,1)</f>
        <v>0.32500000000000001</v>
      </c>
      <c r="N4" s="18">
        <f>INDEX(REASON_BEHAVIOR,1)/INDEX(REASON_SUM,1)</f>
        <v>0.13333333333333333</v>
      </c>
      <c r="O4" s="18">
        <f>INDEX(REASON_SPECIAL_CARE,1)/INDEX(REASON_SUM,1)</f>
        <v>0.19166666666666668</v>
      </c>
      <c r="P4" s="18">
        <f>INDEX(REASON_FINANCIAL,1)/INDEX(REASON_SUM,1)</f>
        <v>0.15</v>
      </c>
      <c r="Q4" s="18">
        <f>INDEX(REASON_GUARDIANSHIP,1)/INDEX(REASON_SUM,1)</f>
        <v>9.166666666666666E-2</v>
      </c>
      <c r="R4" s="18">
        <f>INDEX(REASON_PASARR,1)/INDEX(REASON_SUM,1)</f>
        <v>1.6666666666666666E-2</v>
      </c>
      <c r="S4" s="18">
        <f>INDEX(REASON_OTHER,1)/INDEX(REASON_SUM,1)</f>
        <v>9.166666666666666E-2</v>
      </c>
      <c r="T4" s="3">
        <f>INDEX(LTC_UNSTAFFED,1)</f>
        <v>128</v>
      </c>
      <c r="U4" t="b">
        <f>COUNTIF(COVID_YEARS,INDEX(YEAR,1))&gt;0</f>
        <v>0</v>
      </c>
    </row>
    <row r="5" spans="1:21" x14ac:dyDescent="0.25">
      <c r="A5" s="13">
        <f>INDEX(YEAR,2)</f>
        <v>2018</v>
      </c>
      <c r="B5" s="17">
        <f>INDEX(WL_DAYS,2)/INDEX(WL_PATIENTS,2)</f>
        <v>12.484132980732905</v>
      </c>
      <c r="C5" s="3">
        <f>INDEX(WL_PATIENTS,2)*BENCH_DAYS</f>
        <v>74116</v>
      </c>
      <c r="D5" s="17">
        <f>INDEX(DAYS_PER_PT,2)-BENCH_DAYS</f>
        <v>-1.5158670192670947</v>
      </c>
      <c r="E5" s="3">
        <f>INDEX(WL_DAYS,2)</f>
        <v>66091</v>
      </c>
      <c r="F5" s="3">
        <f>MAX(0,INDEX(WL_DAYS,2)-INDEX(BENCH_TOTAL,2))</f>
        <v>0</v>
      </c>
      <c r="G5" s="3">
        <f>INDEX(WL_DAYS,2)-INDEX(EXCESS_DAYS,2)</f>
        <v>66091</v>
      </c>
      <c r="H5" s="18">
        <f>INDEX(EXCESS_DAYS,2)/INDEX(WL_DAYS,2)</f>
        <v>0</v>
      </c>
      <c r="I5" s="3">
        <f>DATE(INDEX(YEAR,2)+1,1,1)-DATE(INDEX(YEAR,2),1,1)</f>
        <v>365</v>
      </c>
      <c r="J5" s="17">
        <f>INDEX(EXCESS_DAYS,2)/INDEX(DAYS_IN_YEAR,2)</f>
        <v>0</v>
      </c>
      <c r="K5" t="b">
        <f>INDEX(DAYS_PER_PT,2)&lt;=BENCH_DAYS</f>
        <v>1</v>
      </c>
      <c r="L5" s="3">
        <f>INDEX(REASON_NO_BED,2)+INDEX(REASON_BEHAVIOR,2)+INDEX(REASON_SPECIAL_CARE,2)+INDEX(REASON_FINANCIAL,2)+INDEX(REASON_GUARDIANSHIP,2)+INDEX(REASON_PASARR,2)+INDEX(REASON_OTHER,2)</f>
        <v>171</v>
      </c>
      <c r="M5" s="18">
        <f>INDEX(REASON_NO_BED,2)/INDEX(REASON_SUM,2)</f>
        <v>0.33333333333333331</v>
      </c>
      <c r="N5" s="18">
        <f>INDEX(REASON_BEHAVIOR,2)/INDEX(REASON_SUM,2)</f>
        <v>0.16959064327485379</v>
      </c>
      <c r="O5" s="18">
        <f>INDEX(REASON_SPECIAL_CARE,2)/INDEX(REASON_SUM,2)</f>
        <v>9.9415204678362568E-2</v>
      </c>
      <c r="P5" s="18">
        <f>INDEX(REASON_FINANCIAL,2)/INDEX(REASON_SUM,2)</f>
        <v>0.18128654970760233</v>
      </c>
      <c r="Q5" s="18">
        <f>INDEX(REASON_GUARDIANSHIP,2)/INDEX(REASON_SUM,2)</f>
        <v>0.10526315789473684</v>
      </c>
      <c r="R5" s="18">
        <f>INDEX(REASON_PASARR,2)/INDEX(REASON_SUM,2)</f>
        <v>1.1695906432748537E-2</v>
      </c>
      <c r="S5" s="18">
        <f>INDEX(REASON_OTHER,2)/INDEX(REASON_SUM,2)</f>
        <v>9.9415204678362568E-2</v>
      </c>
      <c r="T5" s="3">
        <f>INDEX(LTC_UNSTAFFED,2)</f>
        <v>160</v>
      </c>
      <c r="U5" t="b">
        <f>COUNTIF(COVID_YEARS,INDEX(YEAR,2))&gt;0</f>
        <v>0</v>
      </c>
    </row>
    <row r="6" spans="1:21" x14ac:dyDescent="0.25">
      <c r="A6" s="13">
        <f>INDEX(YEAR,3)</f>
        <v>2019</v>
      </c>
      <c r="B6" s="17">
        <f>INDEX(WL_DAYS,3)/INDEX(WL_PATIENTS,3)</f>
        <v>16.474112734864299</v>
      </c>
      <c r="C6" s="3">
        <f>INDEX(WL_PATIENTS,3)*BENCH_DAYS</f>
        <v>67060</v>
      </c>
      <c r="D6" s="17">
        <f>INDEX(DAYS_PER_PT,3)-BENCH_DAYS</f>
        <v>2.4741127348642991</v>
      </c>
      <c r="E6" s="3">
        <f>INDEX(WL_DAYS,3)</f>
        <v>78911</v>
      </c>
      <c r="F6" s="3">
        <f>MAX(0,INDEX(WL_DAYS,3)-INDEX(BENCH_TOTAL,3))</f>
        <v>11851</v>
      </c>
      <c r="G6" s="3">
        <f>INDEX(WL_DAYS,3)-INDEX(EXCESS_DAYS,3)</f>
        <v>67060</v>
      </c>
      <c r="H6" s="18">
        <f>INDEX(EXCESS_DAYS,3)/INDEX(WL_DAYS,3)</f>
        <v>0.15018185043910229</v>
      </c>
      <c r="I6" s="3">
        <f>DATE(INDEX(YEAR,3)+1,1,1)-DATE(INDEX(YEAR,3),1,1)</f>
        <v>365</v>
      </c>
      <c r="J6" s="17">
        <f>INDEX(EXCESS_DAYS,3)/INDEX(DAYS_IN_YEAR,3)</f>
        <v>32.468493150684928</v>
      </c>
      <c r="K6" t="b">
        <f>INDEX(DAYS_PER_PT,3)&lt;=BENCH_DAYS</f>
        <v>0</v>
      </c>
      <c r="L6" s="3">
        <f>INDEX(REASON_NO_BED,3)+INDEX(REASON_BEHAVIOR,3)+INDEX(REASON_SPECIAL_CARE,3)+INDEX(REASON_FINANCIAL,3)+INDEX(REASON_GUARDIANSHIP,3)+INDEX(REASON_PASARR,3)+INDEX(REASON_OTHER,3)</f>
        <v>184</v>
      </c>
      <c r="M6" s="18">
        <f>INDEX(REASON_NO_BED,3)/INDEX(REASON_SUM,3)</f>
        <v>0.39130434782608697</v>
      </c>
      <c r="N6" s="18">
        <f>INDEX(REASON_BEHAVIOR,3)/INDEX(REASON_SUM,3)</f>
        <v>0.14673913043478262</v>
      </c>
      <c r="O6" s="18">
        <f>INDEX(REASON_SPECIAL_CARE,3)/INDEX(REASON_SUM,3)</f>
        <v>0.11413043478260869</v>
      </c>
      <c r="P6" s="18">
        <f>INDEX(REASON_FINANCIAL,3)/INDEX(REASON_SUM,3)</f>
        <v>0.17391304347826086</v>
      </c>
      <c r="Q6" s="18">
        <f>INDEX(REASON_GUARDIANSHIP,3)/INDEX(REASON_SUM,3)</f>
        <v>0.14130434782608695</v>
      </c>
      <c r="R6" s="18">
        <f>INDEX(REASON_PASARR,3)/INDEX(REASON_SUM,3)</f>
        <v>0</v>
      </c>
      <c r="S6" s="18">
        <f>INDEX(REASON_OTHER,3)/INDEX(REASON_SUM,3)</f>
        <v>3.2608695652173912E-2</v>
      </c>
      <c r="T6" s="3">
        <f>INDEX(LTC_UNSTAFFED,3)</f>
        <v>248</v>
      </c>
      <c r="U6" t="b">
        <f>COUNTIF(COVID_YEARS,INDEX(YEAR,3))&gt;0</f>
        <v>0</v>
      </c>
    </row>
    <row r="7" spans="1:21" x14ac:dyDescent="0.25">
      <c r="A7" s="13">
        <f>INDEX(YEAR,4)</f>
        <v>2020</v>
      </c>
      <c r="B7" s="17">
        <f>INDEX(WL_DAYS,4)/INDEX(WL_PATIENTS,4)</f>
        <v>12.584449813309906</v>
      </c>
      <c r="C7" s="3">
        <f>INDEX(WL_PATIENTS,4)*BENCH_DAYS</f>
        <v>63742</v>
      </c>
      <c r="D7" s="17">
        <f>INDEX(DAYS_PER_PT,4)-BENCH_DAYS</f>
        <v>-1.4155501866900941</v>
      </c>
      <c r="E7" s="3">
        <f>INDEX(WL_DAYS,4)</f>
        <v>57297</v>
      </c>
      <c r="F7" s="3">
        <f>MAX(0,INDEX(WL_DAYS,4)-INDEX(BENCH_TOTAL,4))</f>
        <v>0</v>
      </c>
      <c r="G7" s="3">
        <f>INDEX(WL_DAYS,4)-INDEX(EXCESS_DAYS,4)</f>
        <v>57297</v>
      </c>
      <c r="H7" s="18">
        <f>INDEX(EXCESS_DAYS,4)/INDEX(WL_DAYS,4)</f>
        <v>0</v>
      </c>
      <c r="I7" s="3">
        <f>DATE(INDEX(YEAR,4)+1,1,1)-DATE(INDEX(YEAR,4),1,1)</f>
        <v>366</v>
      </c>
      <c r="J7" s="17">
        <f>INDEX(EXCESS_DAYS,4)/INDEX(DAYS_IN_YEAR,4)</f>
        <v>0</v>
      </c>
      <c r="K7" t="b">
        <f>INDEX(DAYS_PER_PT,4)&lt;=BENCH_DAYS</f>
        <v>1</v>
      </c>
      <c r="L7" s="3">
        <f>INDEX(REASON_NO_BED,4)+INDEX(REASON_BEHAVIOR,4)+INDEX(REASON_SPECIAL_CARE,4)+INDEX(REASON_FINANCIAL,4)+INDEX(REASON_GUARDIANSHIP,4)+INDEX(REASON_PASARR,4)+INDEX(REASON_OTHER,4)</f>
        <v>144</v>
      </c>
      <c r="M7" s="18">
        <f>INDEX(REASON_NO_BED,4)/INDEX(REASON_SUM,4)</f>
        <v>0.28472222222222221</v>
      </c>
      <c r="N7" s="18">
        <f>INDEX(REASON_BEHAVIOR,4)/INDEX(REASON_SUM,4)</f>
        <v>0.16666666666666666</v>
      </c>
      <c r="O7" s="18">
        <f>INDEX(REASON_SPECIAL_CARE,4)/INDEX(REASON_SUM,4)</f>
        <v>0.15277777777777779</v>
      </c>
      <c r="P7" s="18">
        <f>INDEX(REASON_FINANCIAL,4)/INDEX(REASON_SUM,4)</f>
        <v>0.20833333333333334</v>
      </c>
      <c r="Q7" s="18">
        <f>INDEX(REASON_GUARDIANSHIP,4)/INDEX(REASON_SUM,4)</f>
        <v>0.10416666666666667</v>
      </c>
      <c r="R7" s="18">
        <f>INDEX(REASON_PASARR,4)/INDEX(REASON_SUM,4)</f>
        <v>0</v>
      </c>
      <c r="S7" s="18">
        <f>INDEX(REASON_OTHER,4)/INDEX(REASON_SUM,4)</f>
        <v>8.3333333333333329E-2</v>
      </c>
      <c r="T7" s="3">
        <f>INDEX(LTC_UNSTAFFED,4)</f>
        <v>462</v>
      </c>
      <c r="U7" t="b">
        <f>COUNTIF(COVID_YEARS,INDEX(YEAR,4))&gt;0</f>
        <v>1</v>
      </c>
    </row>
    <row r="8" spans="1:21" x14ac:dyDescent="0.25">
      <c r="A8" s="13">
        <f>INDEX(YEAR,5)</f>
        <v>2021</v>
      </c>
      <c r="B8" s="17">
        <f>INDEX(WL_DAYS,5)/INDEX(WL_PATIENTS,5)</f>
        <v>12.187943982139233</v>
      </c>
      <c r="C8" s="3">
        <f>INDEX(WL_PATIENTS,5)*BENCH_DAYS</f>
        <v>68978</v>
      </c>
      <c r="D8" s="17">
        <f>INDEX(DAYS_PER_PT,5)-BENCH_DAYS</f>
        <v>-1.8120560178607672</v>
      </c>
      <c r="E8" s="3">
        <f>INDEX(WL_DAYS,5)</f>
        <v>60050</v>
      </c>
      <c r="F8" s="3">
        <f>MAX(0,INDEX(WL_DAYS,5)-INDEX(BENCH_TOTAL,5))</f>
        <v>0</v>
      </c>
      <c r="G8" s="3">
        <f>INDEX(WL_DAYS,5)-INDEX(EXCESS_DAYS,5)</f>
        <v>60050</v>
      </c>
      <c r="H8" s="18">
        <f>INDEX(EXCESS_DAYS,5)/INDEX(WL_DAYS,5)</f>
        <v>0</v>
      </c>
      <c r="I8" s="3">
        <f>DATE(INDEX(YEAR,5)+1,1,1)-DATE(INDEX(YEAR,5),1,1)</f>
        <v>365</v>
      </c>
      <c r="J8" s="17">
        <f>INDEX(EXCESS_DAYS,5)/INDEX(DAYS_IN_YEAR,5)</f>
        <v>0</v>
      </c>
      <c r="K8" t="b">
        <f>INDEX(DAYS_PER_PT,5)&lt;=BENCH_DAYS</f>
        <v>1</v>
      </c>
      <c r="L8" s="3">
        <f>INDEX(REASON_NO_BED,5)+INDEX(REASON_BEHAVIOR,5)+INDEX(REASON_SPECIAL_CARE,5)+INDEX(REASON_FINANCIAL,5)+INDEX(REASON_GUARDIANSHIP,5)+INDEX(REASON_PASARR,5)+INDEX(REASON_OTHER,5)</f>
        <v>189</v>
      </c>
      <c r="M8" s="18">
        <f>INDEX(REASON_NO_BED,5)/INDEX(REASON_SUM,5)</f>
        <v>0.26455026455026454</v>
      </c>
      <c r="N8" s="18">
        <f>INDEX(REASON_BEHAVIOR,5)/INDEX(REASON_SUM,5)</f>
        <v>0.19047619047619047</v>
      </c>
      <c r="O8" s="18">
        <f>INDEX(REASON_SPECIAL_CARE,5)/INDEX(REASON_SUM,5)</f>
        <v>0.1164021164021164</v>
      </c>
      <c r="P8" s="18">
        <f>INDEX(REASON_FINANCIAL,5)/INDEX(REASON_SUM,5)</f>
        <v>0.2275132275132275</v>
      </c>
      <c r="Q8" s="18">
        <f>INDEX(REASON_GUARDIANSHIP,5)/INDEX(REASON_SUM,5)</f>
        <v>0.10582010582010581</v>
      </c>
      <c r="R8" s="18">
        <f>INDEX(REASON_PASARR,5)/INDEX(REASON_SUM,5)</f>
        <v>0</v>
      </c>
      <c r="S8" s="18">
        <f>INDEX(REASON_OTHER,5)/INDEX(REASON_SUM,5)</f>
        <v>9.5238095238095233E-2</v>
      </c>
      <c r="T8" s="3">
        <f>INDEX(LTC_UNSTAFFED,5)</f>
        <v>614</v>
      </c>
      <c r="U8" t="b">
        <f>COUNTIF(COVID_YEARS,INDEX(YEAR,5))&gt;0</f>
        <v>1</v>
      </c>
    </row>
    <row r="9" spans="1:21" x14ac:dyDescent="0.25">
      <c r="A9" s="13">
        <f>INDEX(YEAR,6)</f>
        <v>2022</v>
      </c>
      <c r="B9" s="17">
        <f>INDEX(WL_DAYS,6)/INDEX(WL_PATIENTS,6)</f>
        <v>21.342298288508559</v>
      </c>
      <c r="C9" s="3">
        <f>INDEX(WL_PATIENTS,6)*BENCH_DAYS</f>
        <v>51534</v>
      </c>
      <c r="D9" s="17">
        <f>INDEX(DAYS_PER_PT,6)-BENCH_DAYS</f>
        <v>7.3422982885085588</v>
      </c>
      <c r="E9" s="3">
        <f>INDEX(WL_DAYS,6)</f>
        <v>78561</v>
      </c>
      <c r="F9" s="3">
        <f>MAX(0,INDEX(WL_DAYS,6)-INDEX(BENCH_TOTAL,6))</f>
        <v>27027</v>
      </c>
      <c r="G9" s="3">
        <f>INDEX(WL_DAYS,6)-INDEX(EXCESS_DAYS,6)</f>
        <v>51534</v>
      </c>
      <c r="H9" s="18">
        <f>INDEX(EXCESS_DAYS,6)/INDEX(WL_DAYS,6)</f>
        <v>0.34402566158781073</v>
      </c>
      <c r="I9" s="3">
        <f>DATE(INDEX(YEAR,6)+1,1,1)-DATE(INDEX(YEAR,6),1,1)</f>
        <v>365</v>
      </c>
      <c r="J9" s="17">
        <f>INDEX(EXCESS_DAYS,6)/INDEX(DAYS_IN_YEAR,6)</f>
        <v>74.046575342465758</v>
      </c>
      <c r="K9" t="b">
        <f>INDEX(DAYS_PER_PT,6)&lt;=BENCH_DAYS</f>
        <v>0</v>
      </c>
      <c r="L9" s="3">
        <f>INDEX(REASON_NO_BED,6)+INDEX(REASON_BEHAVIOR,6)+INDEX(REASON_SPECIAL_CARE,6)+INDEX(REASON_FINANCIAL,6)+INDEX(REASON_GUARDIANSHIP,6)+INDEX(REASON_PASARR,6)+INDEX(REASON_OTHER,6)</f>
        <v>250</v>
      </c>
      <c r="M9" s="18">
        <f>INDEX(REASON_NO_BED,6)/INDEX(REASON_SUM,6)</f>
        <v>0.22800000000000001</v>
      </c>
      <c r="N9" s="18">
        <f>INDEX(REASON_BEHAVIOR,6)/INDEX(REASON_SUM,6)</f>
        <v>0.14000000000000001</v>
      </c>
      <c r="O9" s="18">
        <f>INDEX(REASON_SPECIAL_CARE,6)/INDEX(REASON_SUM,6)</f>
        <v>0.156</v>
      </c>
      <c r="P9" s="18">
        <f>INDEX(REASON_FINANCIAL,6)/INDEX(REASON_SUM,6)</f>
        <v>0.3</v>
      </c>
      <c r="Q9" s="18">
        <f>INDEX(REASON_GUARDIANSHIP,6)/INDEX(REASON_SUM,6)</f>
        <v>0.11600000000000001</v>
      </c>
      <c r="R9" s="18">
        <f>INDEX(REASON_PASARR,6)/INDEX(REASON_SUM,6)</f>
        <v>0.02</v>
      </c>
      <c r="S9" s="18">
        <f>INDEX(REASON_OTHER,6)/INDEX(REASON_SUM,6)</f>
        <v>0.04</v>
      </c>
      <c r="T9" s="3">
        <f>INDEX(LTC_UNSTAFFED,6)</f>
        <v>661</v>
      </c>
      <c r="U9" t="b">
        <f>COUNTIF(COVID_YEARS,INDEX(YEAR,6))&gt;0</f>
        <v>0</v>
      </c>
    </row>
    <row r="10" spans="1:21" x14ac:dyDescent="0.25">
      <c r="A10" s="13">
        <f>INDEX(YEAR,7)</f>
        <v>2023</v>
      </c>
      <c r="B10" s="17">
        <f>INDEX(WL_DAYS,7)/INDEX(WL_PATIENTS,7)</f>
        <v>23.018559556786702</v>
      </c>
      <c r="C10" s="3">
        <f>INDEX(WL_PATIENTS,7)*BENCH_DAYS</f>
        <v>50540</v>
      </c>
      <c r="D10" s="17">
        <f>INDEX(DAYS_PER_PT,7)-BENCH_DAYS</f>
        <v>9.0185595567867018</v>
      </c>
      <c r="E10" s="3">
        <f>INDEX(WL_DAYS,7)</f>
        <v>83097</v>
      </c>
      <c r="F10" s="3">
        <f>MAX(0,INDEX(WL_DAYS,7)-INDEX(BENCH_TOTAL,7))</f>
        <v>32557</v>
      </c>
      <c r="G10" s="3">
        <f>INDEX(WL_DAYS,7)-INDEX(EXCESS_DAYS,7)</f>
        <v>50540</v>
      </c>
      <c r="H10" s="18">
        <f>INDEX(EXCESS_DAYS,7)/INDEX(WL_DAYS,7)</f>
        <v>0.39179513099149188</v>
      </c>
      <c r="I10" s="3">
        <f>DATE(INDEX(YEAR,7)+1,1,1)-DATE(INDEX(YEAR,7),1,1)</f>
        <v>365</v>
      </c>
      <c r="J10" s="17">
        <f>INDEX(EXCESS_DAYS,7)/INDEX(DAYS_IN_YEAR,7)</f>
        <v>89.197260273972603</v>
      </c>
      <c r="K10" t="b">
        <f>INDEX(DAYS_PER_PT,7)&lt;=BENCH_DAYS</f>
        <v>0</v>
      </c>
      <c r="L10" s="3">
        <f>INDEX(REASON_NO_BED,7)+INDEX(REASON_BEHAVIOR,7)+INDEX(REASON_SPECIAL_CARE,7)+INDEX(REASON_FINANCIAL,7)+INDEX(REASON_GUARDIANSHIP,7)+INDEX(REASON_PASARR,7)+INDEX(REASON_OTHER,7)</f>
        <v>191</v>
      </c>
      <c r="M10" s="18">
        <f>INDEX(REASON_NO_BED,7)/INDEX(REASON_SUM,7)</f>
        <v>0.21989528795811519</v>
      </c>
      <c r="N10" s="18">
        <f>INDEX(REASON_BEHAVIOR,7)/INDEX(REASON_SUM,7)</f>
        <v>0.2513089005235602</v>
      </c>
      <c r="O10" s="18">
        <f>INDEX(REASON_SPECIAL_CARE,7)/INDEX(REASON_SUM,7)</f>
        <v>0.13612565445026178</v>
      </c>
      <c r="P10" s="18">
        <f>INDEX(REASON_FINANCIAL,7)/INDEX(REASON_SUM,7)</f>
        <v>0.2356020942408377</v>
      </c>
      <c r="Q10" s="18">
        <f>INDEX(REASON_GUARDIANSHIP,7)/INDEX(REASON_SUM,7)</f>
        <v>0.14659685863874344</v>
      </c>
      <c r="R10" s="18">
        <f>INDEX(REASON_PASARR,7)/INDEX(REASON_SUM,7)</f>
        <v>5.235602094240838E-3</v>
      </c>
      <c r="S10" s="18">
        <f>INDEX(REASON_OTHER,7)/INDEX(REASON_SUM,7)</f>
        <v>5.235602094240838E-3</v>
      </c>
      <c r="T10" s="3">
        <f>INDEX(LTC_UNSTAFFED,7)</f>
        <v>510</v>
      </c>
      <c r="U10" t="b">
        <f>COUNTIF(COVID_YEARS,INDEX(YEAR,7))&gt;0</f>
        <v>0</v>
      </c>
    </row>
    <row r="11" spans="1:21" x14ac:dyDescent="0.25">
      <c r="A11" s="13">
        <f>INDEX(YEAR,8)</f>
        <v>2024</v>
      </c>
      <c r="B11" s="17">
        <f>INDEX(WL_DAYS,8)/INDEX(WL_PATIENTS,8)</f>
        <v>19.492795389048993</v>
      </c>
      <c r="C11" s="3">
        <f>INDEX(WL_PATIENTS,8)*BENCH_DAYS</f>
        <v>43722</v>
      </c>
      <c r="D11" s="17">
        <f>INDEX(DAYS_PER_PT,8)-BENCH_DAYS</f>
        <v>5.4927953890489931</v>
      </c>
      <c r="E11" s="3">
        <f>INDEX(WL_DAYS,8)</f>
        <v>60876</v>
      </c>
      <c r="F11" s="3">
        <f>MAX(0,INDEX(WL_DAYS,8)-INDEX(BENCH_TOTAL,8))</f>
        <v>17154</v>
      </c>
      <c r="G11" s="3">
        <f>INDEX(WL_DAYS,8)-INDEX(EXCESS_DAYS,8)</f>
        <v>43722</v>
      </c>
      <c r="H11" s="18">
        <f>INDEX(EXCESS_DAYS,8)/INDEX(WL_DAYS,8)</f>
        <v>0.28178592548787701</v>
      </c>
      <c r="I11" s="3">
        <f>DATE(INDEX(YEAR,8)+1,1,1)-DATE(INDEX(YEAR,8),1,1)</f>
        <v>366</v>
      </c>
      <c r="J11" s="17">
        <f>INDEX(EXCESS_DAYS,8)/INDEX(DAYS_IN_YEAR,8)</f>
        <v>46.868852459016395</v>
      </c>
      <c r="K11" t="b">
        <f>INDEX(DAYS_PER_PT,8)&lt;=BENCH_DAYS</f>
        <v>0</v>
      </c>
      <c r="L11" s="3">
        <f>INDEX(REASON_NO_BED,8)+INDEX(REASON_BEHAVIOR,8)+INDEX(REASON_SPECIAL_CARE,8)+INDEX(REASON_FINANCIAL,8)+INDEX(REASON_GUARDIANSHIP,8)+INDEX(REASON_PASARR,8)+INDEX(REASON_OTHER,8)</f>
        <v>173</v>
      </c>
      <c r="M11" s="18">
        <f>INDEX(REASON_NO_BED,8)/INDEX(REASON_SUM,8)</f>
        <v>0.1791907514450867</v>
      </c>
      <c r="N11" s="18">
        <f>INDEX(REASON_BEHAVIOR,8)/INDEX(REASON_SUM,8)</f>
        <v>0.16763005780346821</v>
      </c>
      <c r="O11" s="18">
        <f>INDEX(REASON_SPECIAL_CARE,8)/INDEX(REASON_SUM,8)</f>
        <v>0.10404624277456648</v>
      </c>
      <c r="P11" s="18">
        <f>INDEX(REASON_FINANCIAL,8)/INDEX(REASON_SUM,8)</f>
        <v>0.34682080924855491</v>
      </c>
      <c r="Q11" s="18">
        <f>INDEX(REASON_GUARDIANSHIP,8)/INDEX(REASON_SUM,8)</f>
        <v>0.1791907514450867</v>
      </c>
      <c r="R11" s="18">
        <f>INDEX(REASON_PASARR,8)/INDEX(REASON_SUM,8)</f>
        <v>0</v>
      </c>
      <c r="S11" s="18">
        <f>INDEX(REASON_OTHER,8)/INDEX(REASON_SUM,8)</f>
        <v>2.3121387283236993E-2</v>
      </c>
      <c r="T11" s="3">
        <f>INDEX(LTC_UNSTAFFED,8)</f>
        <v>548</v>
      </c>
      <c r="U11" t="b">
        <f>COUNTIF(COVID_YEARS,INDEX(YEAR,8))&gt;0</f>
        <v>0</v>
      </c>
    </row>
    <row r="13" spans="1:21" x14ac:dyDescent="0.25">
      <c r="A13" s="4" t="s">
        <v>136</v>
      </c>
    </row>
    <row r="14" spans="1:21" x14ac:dyDescent="0.25">
      <c r="A14" s="2" t="s">
        <v>137</v>
      </c>
      <c r="B14" t="b">
        <f>INDEX(REASON_SUM,1)&lt;INDEX(DEC31_TOTAL,1)</f>
        <v>1</v>
      </c>
      <c r="C14" s="14" t="s">
        <v>138</v>
      </c>
    </row>
    <row r="15" spans="1:21" x14ac:dyDescent="0.25">
      <c r="A15" s="2" t="s">
        <v>139</v>
      </c>
      <c r="B15" s="3">
        <f>INDEX(LTC_UNSTAFFED,8)</f>
        <v>548</v>
      </c>
      <c r="C15" s="14" t="s">
        <v>140</v>
      </c>
    </row>
    <row r="16" spans="1:21" x14ac:dyDescent="0.25">
      <c r="A16" s="2" t="s">
        <v>141</v>
      </c>
      <c r="B16" s="3">
        <f>LTC_UNSTAFFED_STAFF_2024</f>
        <v>353</v>
      </c>
    </row>
    <row r="17" spans="1:1" x14ac:dyDescent="0.25">
      <c r="A17" s="1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5" x14ac:dyDescent="0.25"/>
  <cols>
    <col min="1" max="1" width="58" customWidth="1"/>
    <col min="2" max="2" width="14" customWidth="1"/>
    <col min="3" max="4" width="16" customWidth="1"/>
    <col min="5" max="5" width="24" customWidth="1"/>
  </cols>
  <sheetData>
    <row r="1" spans="1:5" ht="18.75" x14ac:dyDescent="0.3">
      <c r="A1" s="1" t="s">
        <v>143</v>
      </c>
    </row>
    <row r="3" spans="1:5" ht="45" customHeight="1" x14ac:dyDescent="0.25">
      <c r="A3" s="5" t="s">
        <v>144</v>
      </c>
      <c r="B3" s="5" t="s">
        <v>5</v>
      </c>
      <c r="C3" s="5" t="s">
        <v>145</v>
      </c>
      <c r="D3" s="5" t="s">
        <v>146</v>
      </c>
      <c r="E3" s="5" t="s">
        <v>147</v>
      </c>
    </row>
    <row r="4" spans="1:5" x14ac:dyDescent="0.25">
      <c r="A4" s="19" t="s">
        <v>148</v>
      </c>
      <c r="B4" t="s">
        <v>149</v>
      </c>
      <c r="C4" s="3">
        <f>INDEX(EXCESS_DAYS,MATCH(2023,YEAR,0))</f>
        <v>32557</v>
      </c>
      <c r="D4" s="3">
        <f>INDEX(EXCESS_DAYS,MATCH(2024,YEAR,0))</f>
        <v>17154</v>
      </c>
      <c r="E4" s="3">
        <f>INDEX(EXCESS_DAYS,MATCH(2024,YEAR,0))</f>
        <v>17154</v>
      </c>
    </row>
    <row r="5" spans="1:5" x14ac:dyDescent="0.25">
      <c r="A5" s="19" t="s">
        <v>150</v>
      </c>
      <c r="B5" t="s">
        <v>151</v>
      </c>
      <c r="C5" s="20">
        <f>INDEX(WL_RATE_JAN,MATCH(2023,YEAR,0))</f>
        <v>283.60000000000002</v>
      </c>
      <c r="D5" s="20">
        <f>INDEX(WL_RATE_JAN,MATCH(2024,YEAR,0))</f>
        <v>464.97</v>
      </c>
    </row>
    <row r="6" spans="1:5" x14ac:dyDescent="0.25">
      <c r="A6" s="19" t="s">
        <v>152</v>
      </c>
      <c r="B6" t="s">
        <v>151</v>
      </c>
      <c r="C6" s="20">
        <f>INDEX(WL_RATE_JUL,MATCH(2023,YEAR,0))</f>
        <v>302.89</v>
      </c>
      <c r="D6" s="20">
        <f>INDEX(WL_RATE_JUL,MATCH(2024,YEAR,0))</f>
        <v>455.59</v>
      </c>
    </row>
    <row r="7" spans="1:5" ht="30.95" customHeight="1" x14ac:dyDescent="0.25">
      <c r="A7" s="19" t="s">
        <v>153</v>
      </c>
      <c r="B7" t="s">
        <v>151</v>
      </c>
      <c r="C7" s="20">
        <f>(INDEX(WL_RATE_JAN,MATCH(2023,YEAR,0))+INDEX(WL_RATE_JUL,MATCH(2023,YEAR,0)))/2</f>
        <v>293.245</v>
      </c>
      <c r="D7" s="20">
        <f>(INDEX(WL_RATE_JAN,MATCH(2024,YEAR,0))+INDEX(WL_RATE_JUL,MATCH(2024,YEAR,0)))/2</f>
        <v>460.28</v>
      </c>
      <c r="E7" s="20">
        <f>WL_RATE_2026</f>
        <v>486.76</v>
      </c>
    </row>
    <row r="8" spans="1:5" x14ac:dyDescent="0.25">
      <c r="A8" s="19" t="s">
        <v>154</v>
      </c>
      <c r="B8" t="s">
        <v>151</v>
      </c>
      <c r="C8" s="20">
        <f>AVOID_COST_LO-INDEX(WL_RATE_AVG,1)</f>
        <v>256.755</v>
      </c>
      <c r="D8" s="20">
        <f>AVOID_COST_LO-INDEX(WL_RATE_AVG,2)</f>
        <v>89.720000000000027</v>
      </c>
      <c r="E8" s="20">
        <f>AVOID_COST_LO-WL_RATE_2026</f>
        <v>63.240000000000009</v>
      </c>
    </row>
    <row r="9" spans="1:5" x14ac:dyDescent="0.25">
      <c r="A9" s="19" t="s">
        <v>155</v>
      </c>
      <c r="B9" t="s">
        <v>151</v>
      </c>
      <c r="C9" s="20">
        <f>AVOID_COST_HI-INDEX(WL_RATE_AVG,1)</f>
        <v>1176.7550000000001</v>
      </c>
      <c r="D9" s="20">
        <f>AVOID_COST_HI-INDEX(WL_RATE_AVG,2)</f>
        <v>1009.72</v>
      </c>
      <c r="E9" s="20">
        <f>AVOID_COST_HI-WL_RATE_2026</f>
        <v>983.24</v>
      </c>
    </row>
    <row r="10" spans="1:5" x14ac:dyDescent="0.25">
      <c r="A10" s="19" t="s">
        <v>156</v>
      </c>
      <c r="B10" t="s">
        <v>157</v>
      </c>
      <c r="C10" s="21">
        <f>INDEX(EXCESS_DAYS,MATCH(2023,YEAR,0))*INDEX(NET_COST_LO,1)</f>
        <v>8359172.5350000001</v>
      </c>
      <c r="D10" s="21">
        <f>INDEX(EXCESS_DAYS,MATCH(2024,YEAR,0))*INDEX(NET_COST_LO,2)</f>
        <v>1539056.8800000004</v>
      </c>
      <c r="E10" s="21">
        <f>INDEX(EXCESS_DAYS,MATCH(2024,YEAR,0))*NET_COST_LO_NOW</f>
        <v>1084818.9600000002</v>
      </c>
    </row>
    <row r="11" spans="1:5" x14ac:dyDescent="0.25">
      <c r="A11" s="19" t="s">
        <v>158</v>
      </c>
      <c r="B11" t="s">
        <v>157</v>
      </c>
      <c r="C11" s="21">
        <f>INDEX(EXCESS_DAYS,MATCH(2023,YEAR,0))*INDEX(NET_COST_HI,1)</f>
        <v>38311612.535000004</v>
      </c>
      <c r="D11" s="21">
        <f>INDEX(EXCESS_DAYS,MATCH(2024,YEAR,0))*INDEX(NET_COST_HI,2)</f>
        <v>17320736.879999999</v>
      </c>
      <c r="E11" s="21">
        <f>INDEX(EXCESS_DAYS,MATCH(2024,YEAR,0))*NET_COST_HI_NOW</f>
        <v>16866498.960000001</v>
      </c>
    </row>
    <row r="12" spans="1:5" ht="30.95" customHeight="1" x14ac:dyDescent="0.25">
      <c r="A12" s="19" t="s">
        <v>159</v>
      </c>
      <c r="B12" t="s">
        <v>160</v>
      </c>
      <c r="C12" s="18">
        <f>INDEX(DEC31_NF,MATCH(2023,YEAR,0))/INDEX(DEC31_TOTAL,MATCH(2023,YEAR,0))</f>
        <v>0.82198952879581155</v>
      </c>
      <c r="D12" s="18">
        <f>INDEX(DEC31_NF,MATCH(2024,YEAR,0))/INDEX(DEC31_TOTAL,MATCH(2024,YEAR,0))</f>
        <v>0.69364161849710981</v>
      </c>
    </row>
    <row r="14" spans="1:5" ht="30.95" customHeight="1" x14ac:dyDescent="0.25">
      <c r="A14" s="19" t="s">
        <v>161</v>
      </c>
      <c r="B14" t="s">
        <v>160</v>
      </c>
      <c r="C14" s="18">
        <f>INDEX(WL_DAYS,MATCH(2024,YEAR,0))/INDEX(WL_DAYS,MATCH(2023,YEAR,0))-1</f>
        <v>-0.26741037582584204</v>
      </c>
    </row>
    <row r="15" spans="1:5" x14ac:dyDescent="0.25">
      <c r="A15" s="2" t="s">
        <v>162</v>
      </c>
      <c r="B15" t="s">
        <v>151</v>
      </c>
      <c r="C15" s="20">
        <f>WL_RATE_LEAHI_2026</f>
        <v>480.19</v>
      </c>
      <c r="D15" s="14" t="s">
        <v>163</v>
      </c>
    </row>
    <row r="17" spans="1:1" x14ac:dyDescent="0.25">
      <c r="A17" s="14" t="s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/>
  </sheetViews>
  <sheetFormatPr defaultRowHeight="15" x14ac:dyDescent="0.25"/>
  <cols>
    <col min="1" max="1" width="82" customWidth="1"/>
    <col min="2" max="2" width="22" customWidth="1"/>
    <col min="3" max="4" width="14" customWidth="1"/>
    <col min="5" max="5" width="16" customWidth="1"/>
  </cols>
  <sheetData>
    <row r="1" spans="1:3" ht="18.75" x14ac:dyDescent="0.3">
      <c r="A1" s="1" t="s">
        <v>165</v>
      </c>
    </row>
    <row r="3" spans="1:3" x14ac:dyDescent="0.25">
      <c r="A3" s="5" t="s">
        <v>166</v>
      </c>
      <c r="B3" s="5" t="s">
        <v>4</v>
      </c>
      <c r="C3" s="5" t="s">
        <v>167</v>
      </c>
    </row>
    <row r="4" spans="1:3" x14ac:dyDescent="0.25">
      <c r="A4" s="2" t="s">
        <v>168</v>
      </c>
      <c r="B4" s="18">
        <f>INDEX(SHARE_FINANCIAL,MATCH(2020,YEAR,0))</f>
        <v>0.20833333333333334</v>
      </c>
      <c r="C4" s="14" t="s">
        <v>169</v>
      </c>
    </row>
    <row r="5" spans="1:3" x14ac:dyDescent="0.25">
      <c r="A5" s="2" t="s">
        <v>170</v>
      </c>
      <c r="B5" s="18">
        <f>INDEX(SHARE_FINANCIAL,MATCH(2021,YEAR,0))</f>
        <v>0.2275132275132275</v>
      </c>
      <c r="C5" s="14" t="s">
        <v>169</v>
      </c>
    </row>
    <row r="6" spans="1:3" x14ac:dyDescent="0.25">
      <c r="A6" s="2" t="s">
        <v>171</v>
      </c>
      <c r="B6" s="18">
        <f>INDEX(SHARE_FINANCIAL,MATCH(2020,YEAR,0))-INDEX(SHARE_FINANCIAL,MATCH(2021,YEAR,0))</f>
        <v>-1.9179894179894158E-2</v>
      </c>
      <c r="C6" s="14" t="s">
        <v>172</v>
      </c>
    </row>
    <row r="7" spans="1:3" x14ac:dyDescent="0.25">
      <c r="A7" s="2" t="s">
        <v>173</v>
      </c>
      <c r="B7" t="b">
        <f>T1_DROP_2021*100&gt;=T1_MIN_DROP_PTS</f>
        <v>0</v>
      </c>
      <c r="C7" s="14" t="s">
        <v>174</v>
      </c>
    </row>
    <row r="8" spans="1:3" x14ac:dyDescent="0.25">
      <c r="A8" s="2" t="s">
        <v>175</v>
      </c>
      <c r="B8" s="18">
        <f>INDEX(SHARE_FINANCIAL,MATCH(2023,YEAR,0))</f>
        <v>0.2356020942408377</v>
      </c>
    </row>
    <row r="9" spans="1:3" x14ac:dyDescent="0.25">
      <c r="A9" s="2" t="s">
        <v>176</v>
      </c>
      <c r="B9" s="18">
        <f>INDEX(SHARE_FINANCIAL,MATCH(2024,YEAR,0))</f>
        <v>0.34682080924855491</v>
      </c>
    </row>
    <row r="10" spans="1:3" x14ac:dyDescent="0.25">
      <c r="A10" s="2" t="s">
        <v>177</v>
      </c>
      <c r="B10" s="18">
        <f>INDEX(SHARE_FINANCIAL,MATCH(2023,YEAR,0))-INDEX(SHARE_FINANCIAL,MATCH(2024,YEAR,0))</f>
        <v>-0.11121871500771721</v>
      </c>
      <c r="C10" s="14" t="s">
        <v>172</v>
      </c>
    </row>
    <row r="11" spans="1:3" x14ac:dyDescent="0.25">
      <c r="A11" s="2" t="s">
        <v>178</v>
      </c>
      <c r="B11" t="b">
        <f>T1_DROP_2024*100&gt;=T1_MIN_DROP_PTS</f>
        <v>0</v>
      </c>
      <c r="C11" s="14" t="s">
        <v>179</v>
      </c>
    </row>
    <row r="12" spans="1:3" x14ac:dyDescent="0.25">
      <c r="A12" s="2" t="s">
        <v>180</v>
      </c>
      <c r="B12" t="str">
        <f>IF(AND(NOT(T1_PASS_2021),NOT(T1_PASS_2024)),"Falsified",IF(AND(T1_PASS_2021,NOT(T1_PASS_2024)),"Not falsified; weak (rests on the COVID-confounded 2021 comparison)","Not falsified"))</f>
        <v>Falsified</v>
      </c>
      <c r="C12" s="14" t="s">
        <v>181</v>
      </c>
    </row>
    <row r="14" spans="1:3" x14ac:dyDescent="0.25">
      <c r="A14" s="5" t="s">
        <v>182</v>
      </c>
      <c r="B14" s="5" t="s">
        <v>4</v>
      </c>
      <c r="C14" s="5" t="s">
        <v>167</v>
      </c>
    </row>
    <row r="15" spans="1:3" x14ac:dyDescent="0.25">
      <c r="A15" s="2" t="s">
        <v>183</v>
      </c>
      <c r="B15" s="17">
        <f>SLOPE(INDEX(DAYS_PER_PT,1):INDEX(DAYS_PER_PT,7),INDEX(YEAR,1):INDEX(YEAR,7))</f>
        <v>1.8814212714379457</v>
      </c>
      <c r="C15" s="14" t="s">
        <v>184</v>
      </c>
    </row>
    <row r="16" spans="1:3" x14ac:dyDescent="0.25">
      <c r="A16" s="2" t="s">
        <v>185</v>
      </c>
      <c r="B16" t="str">
        <f>IF(T2_SLOPE&lt;0,"Met","Not met")</f>
        <v>Not met</v>
      </c>
      <c r="C16" s="14" t="s">
        <v>186</v>
      </c>
    </row>
    <row r="18" spans="1:5" ht="45" customHeight="1" x14ac:dyDescent="0.25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</row>
    <row r="19" spans="1:5" x14ac:dyDescent="0.25">
      <c r="A19" s="13">
        <f>INDEX(YEAR,1)</f>
        <v>2017</v>
      </c>
      <c r="B19" t="str">
        <f>IF((IF(INDEX(REASON_NO_BED,1)=MAX(INDEX(REASON_NO_BED,1),INDEX(REASON_BEHAVIOR,1),INDEX(REASON_SPECIAL_CARE,1),INDEX(REASON_FINANCIAL,1),INDEX(REASON_GUARDIANSHIP,1),INDEX(REASON_PASARR,1),INDEX(REASON_OTHER,1)),1,0)+IF(INDEX(REASON_BEHAVIOR,1)=MAX(INDEX(REASON_NO_BED,1),INDEX(REASON_BEHAVIOR,1),INDEX(REASON_SPECIAL_CARE,1),INDEX(REASON_FINANCIAL,1),INDEX(REASON_GUARDIANSHIP,1),INDEX(REASON_PASARR,1),INDEX(REASON_OTHER,1)),1,0)+IF(INDEX(REASON_SPECIAL_CARE,1)=MAX(INDEX(REASON_NO_BED,1),INDEX(REASON_BEHAVIOR,1),INDEX(REASON_SPECIAL_CARE,1),INDEX(REASON_FINANCIAL,1),INDEX(REASON_GUARDIANSHIP,1),INDEX(REASON_PASARR,1),INDEX(REASON_OTHER,1)),1,0)+IF(INDEX(REASON_FINANCIAL,1)=MAX(INDEX(REASON_NO_BED,1),INDEX(REASON_BEHAVIOR,1),INDEX(REASON_SPECIAL_CARE,1),INDEX(REASON_FINANCIAL,1),INDEX(REASON_GUARDIANSHIP,1),INDEX(REASON_PASARR,1),INDEX(REASON_OTHER,1)),1,0)+IF(INDEX(REASON_GUARDIANSHIP,1)=MAX(INDEX(REASON_NO_BED,1),INDEX(REASON_BEHAVIOR,1),INDEX(REASON_SPECIAL_CARE,1),INDEX(REASON_FINANCIAL,1),INDEX(REASON_GUARDIANSHIP,1),INDEX(REASON_PASARR,1),INDEX(REASON_OTHER,1)),1,0)+IF(INDEX(REASON_PASARR,1)=MAX(INDEX(REASON_NO_BED,1),INDEX(REASON_BEHAVIOR,1),INDEX(REASON_SPECIAL_CARE,1),INDEX(REASON_FINANCIAL,1),INDEX(REASON_GUARDIANSHIP,1),INDEX(REASON_PASARR,1),INDEX(REASON_OTHER,1)),1,0)+IF(INDEX(REASON_OTHER,1)=MAX(INDEX(REASON_NO_BED,1),INDEX(REASON_BEHAVIOR,1),INDEX(REASON_SPECIAL_CARE,1),INDEX(REASON_FINANCIAL,1),INDEX(REASON_GUARDIANSHIP,1),INDEX(REASON_PASARR,1),INDEX(REASON_OTHER,1)),1,0))&gt;1,"Tie (none largest)",IF(INDEX(REASON_NO_BED,1)=MAX(INDEX(REASON_NO_BED,1),INDEX(REASON_BEHAVIOR,1),INDEX(REASON_SPECIAL_CARE,1),INDEX(REASON_FINANCIAL,1),INDEX(REASON_GUARDIANSHIP,1),INDEX(REASON_PASARR,1),INDEX(REASON_OTHER,1)),"No bed",IF(INDEX(REASON_BEHAVIOR,1)=MAX(INDEX(REASON_NO_BED,1),INDEX(REASON_BEHAVIOR,1),INDEX(REASON_SPECIAL_CARE,1),INDEX(REASON_FINANCIAL,1),INDEX(REASON_GUARDIANSHIP,1),INDEX(REASON_PASARR,1),INDEX(REASON_OTHER,1)),"Behavior",IF(INDEX(REASON_SPECIAL_CARE,1)=MAX(INDEX(REASON_NO_BED,1),INDEX(REASON_BEHAVIOR,1),INDEX(REASON_SPECIAL_CARE,1),INDEX(REASON_FINANCIAL,1),INDEX(REASON_GUARDIANSHIP,1),INDEX(REASON_PASARR,1),INDEX(REASON_OTHER,1)),"Special care",IF(INDEX(REASON_FINANCIAL,1)=MAX(INDEX(REASON_NO_BED,1),INDEX(REASON_BEHAVIOR,1),INDEX(REASON_SPECIAL_CARE,1),INDEX(REASON_FINANCIAL,1),INDEX(REASON_GUARDIANSHIP,1),INDEX(REASON_PASARR,1),INDEX(REASON_OTHER,1)),"Financial",IF(INDEX(REASON_GUARDIANSHIP,1)=MAX(INDEX(REASON_NO_BED,1),INDEX(REASON_BEHAVIOR,1),INDEX(REASON_SPECIAL_CARE,1),INDEX(REASON_FINANCIAL,1),INDEX(REASON_GUARDIANSHIP,1),INDEX(REASON_PASARR,1),INDEX(REASON_OTHER,1)),"Guardianship",IF(INDEX(REASON_PASARR,1)=MAX(INDEX(REASON_NO_BED,1),INDEX(REASON_BEHAVIOR,1),INDEX(REASON_SPECIAL_CARE,1),INDEX(REASON_FINANCIAL,1),INDEX(REASON_GUARDIANSHIP,1),INDEX(REASON_PASARR,1),INDEX(REASON_OTHER,1)),"PASARR",IF(INDEX(REASON_OTHER,1)=MAX(INDEX(REASON_NO_BED,1),INDEX(REASON_BEHAVIOR,1),INDEX(REASON_SPECIAL_CARE,1),INDEX(REASON_FINANCIAL,1),INDEX(REASON_GUARDIANSHIP,1),INDEX(REASON_PASARR,1),INDEX(REASON_OTHER,1)),"Other","?"))))))))</f>
        <v>No bed</v>
      </c>
      <c r="C19" s="3">
        <f>MAX(INDEX(REASON_NO_BED,1),INDEX(REASON_BEHAVIOR,1),INDEX(REASON_SPECIAL_CARE,1),INDEX(REASON_FINANCIAL,1),INDEX(REASON_GUARDIANSHIP,1),INDEX(REASON_PASARR,1),INDEX(REASON_OTHER,1))</f>
        <v>39</v>
      </c>
      <c r="D19" s="3">
        <f>IF(INDEX(REASON_NO_BED,1)=MAX(INDEX(REASON_NO_BED,1),INDEX(REASON_BEHAVIOR,1),INDEX(REASON_SPECIAL_CARE,1),INDEX(REASON_FINANCIAL,1),INDEX(REASON_GUARDIANSHIP,1),INDEX(REASON_PASARR,1),INDEX(REASON_OTHER,1)),1,0)+IF(INDEX(REASON_BEHAVIOR,1)=MAX(INDEX(REASON_NO_BED,1),INDEX(REASON_BEHAVIOR,1),INDEX(REASON_SPECIAL_CARE,1),INDEX(REASON_FINANCIAL,1),INDEX(REASON_GUARDIANSHIP,1),INDEX(REASON_PASARR,1),INDEX(REASON_OTHER,1)),1,0)+IF(INDEX(REASON_SPECIAL_CARE,1)=MAX(INDEX(REASON_NO_BED,1),INDEX(REASON_BEHAVIOR,1),INDEX(REASON_SPECIAL_CARE,1),INDEX(REASON_FINANCIAL,1),INDEX(REASON_GUARDIANSHIP,1),INDEX(REASON_PASARR,1),INDEX(REASON_OTHER,1)),1,0)+IF(INDEX(REASON_FINANCIAL,1)=MAX(INDEX(REASON_NO_BED,1),INDEX(REASON_BEHAVIOR,1),INDEX(REASON_SPECIAL_CARE,1),INDEX(REASON_FINANCIAL,1),INDEX(REASON_GUARDIANSHIP,1),INDEX(REASON_PASARR,1),INDEX(REASON_OTHER,1)),1,0)+IF(INDEX(REASON_GUARDIANSHIP,1)=MAX(INDEX(REASON_NO_BED,1),INDEX(REASON_BEHAVIOR,1),INDEX(REASON_SPECIAL_CARE,1),INDEX(REASON_FINANCIAL,1),INDEX(REASON_GUARDIANSHIP,1),INDEX(REASON_PASARR,1),INDEX(REASON_OTHER,1)),1,0)+IF(INDEX(REASON_PASARR,1)=MAX(INDEX(REASON_NO_BED,1),INDEX(REASON_BEHAVIOR,1),INDEX(REASON_SPECIAL_CARE,1),INDEX(REASON_FINANCIAL,1),INDEX(REASON_GUARDIANSHIP,1),INDEX(REASON_PASARR,1),INDEX(REASON_OTHER,1)),1,0)+IF(INDEX(REASON_OTHER,1)=MAX(INDEX(REASON_NO_BED,1),INDEX(REASON_BEHAVIOR,1),INDEX(REASON_SPECIAL_CARE,1),INDEX(REASON_FINANCIAL,1),INDEX(REASON_GUARDIANSHIP,1),INDEX(REASON_PASARR,1),INDEX(REASON_OTHER,1)),1,0)</f>
        <v>1</v>
      </c>
      <c r="E19" t="b">
        <f>INDEX(REASON_SUM,1)&lt;INDEX(DEC31_TOTAL,1)</f>
        <v>1</v>
      </c>
    </row>
    <row r="20" spans="1:5" x14ac:dyDescent="0.25">
      <c r="A20" s="13">
        <f>INDEX(YEAR,2)</f>
        <v>2018</v>
      </c>
      <c r="B20" t="str">
        <f>IF((IF(INDEX(REASON_NO_BED,2)=MAX(INDEX(REASON_NO_BED,2),INDEX(REASON_BEHAVIOR,2),INDEX(REASON_SPECIAL_CARE,2),INDEX(REASON_FINANCIAL,2),INDEX(REASON_GUARDIANSHIP,2),INDEX(REASON_PASARR,2),INDEX(REASON_OTHER,2)),1,0)+IF(INDEX(REASON_BEHAVIOR,2)=MAX(INDEX(REASON_NO_BED,2),INDEX(REASON_BEHAVIOR,2),INDEX(REASON_SPECIAL_CARE,2),INDEX(REASON_FINANCIAL,2),INDEX(REASON_GUARDIANSHIP,2),INDEX(REASON_PASARR,2),INDEX(REASON_OTHER,2)),1,0)+IF(INDEX(REASON_SPECIAL_CARE,2)=MAX(INDEX(REASON_NO_BED,2),INDEX(REASON_BEHAVIOR,2),INDEX(REASON_SPECIAL_CARE,2),INDEX(REASON_FINANCIAL,2),INDEX(REASON_GUARDIANSHIP,2),INDEX(REASON_PASARR,2),INDEX(REASON_OTHER,2)),1,0)+IF(INDEX(REASON_FINANCIAL,2)=MAX(INDEX(REASON_NO_BED,2),INDEX(REASON_BEHAVIOR,2),INDEX(REASON_SPECIAL_CARE,2),INDEX(REASON_FINANCIAL,2),INDEX(REASON_GUARDIANSHIP,2),INDEX(REASON_PASARR,2),INDEX(REASON_OTHER,2)),1,0)+IF(INDEX(REASON_GUARDIANSHIP,2)=MAX(INDEX(REASON_NO_BED,2),INDEX(REASON_BEHAVIOR,2),INDEX(REASON_SPECIAL_CARE,2),INDEX(REASON_FINANCIAL,2),INDEX(REASON_GUARDIANSHIP,2),INDEX(REASON_PASARR,2),INDEX(REASON_OTHER,2)),1,0)+IF(INDEX(REASON_PASARR,2)=MAX(INDEX(REASON_NO_BED,2),INDEX(REASON_BEHAVIOR,2),INDEX(REASON_SPECIAL_CARE,2),INDEX(REASON_FINANCIAL,2),INDEX(REASON_GUARDIANSHIP,2),INDEX(REASON_PASARR,2),INDEX(REASON_OTHER,2)),1,0)+IF(INDEX(REASON_OTHER,2)=MAX(INDEX(REASON_NO_BED,2),INDEX(REASON_BEHAVIOR,2),INDEX(REASON_SPECIAL_CARE,2),INDEX(REASON_FINANCIAL,2),INDEX(REASON_GUARDIANSHIP,2),INDEX(REASON_PASARR,2),INDEX(REASON_OTHER,2)),1,0))&gt;1,"Tie (none largest)",IF(INDEX(REASON_NO_BED,2)=MAX(INDEX(REASON_NO_BED,2),INDEX(REASON_BEHAVIOR,2),INDEX(REASON_SPECIAL_CARE,2),INDEX(REASON_FINANCIAL,2),INDEX(REASON_GUARDIANSHIP,2),INDEX(REASON_PASARR,2),INDEX(REASON_OTHER,2)),"No bed",IF(INDEX(REASON_BEHAVIOR,2)=MAX(INDEX(REASON_NO_BED,2),INDEX(REASON_BEHAVIOR,2),INDEX(REASON_SPECIAL_CARE,2),INDEX(REASON_FINANCIAL,2),INDEX(REASON_GUARDIANSHIP,2),INDEX(REASON_PASARR,2),INDEX(REASON_OTHER,2)),"Behavior",IF(INDEX(REASON_SPECIAL_CARE,2)=MAX(INDEX(REASON_NO_BED,2),INDEX(REASON_BEHAVIOR,2),INDEX(REASON_SPECIAL_CARE,2),INDEX(REASON_FINANCIAL,2),INDEX(REASON_GUARDIANSHIP,2),INDEX(REASON_PASARR,2),INDEX(REASON_OTHER,2)),"Special care",IF(INDEX(REASON_FINANCIAL,2)=MAX(INDEX(REASON_NO_BED,2),INDEX(REASON_BEHAVIOR,2),INDEX(REASON_SPECIAL_CARE,2),INDEX(REASON_FINANCIAL,2),INDEX(REASON_GUARDIANSHIP,2),INDEX(REASON_PASARR,2),INDEX(REASON_OTHER,2)),"Financial",IF(INDEX(REASON_GUARDIANSHIP,2)=MAX(INDEX(REASON_NO_BED,2),INDEX(REASON_BEHAVIOR,2),INDEX(REASON_SPECIAL_CARE,2),INDEX(REASON_FINANCIAL,2),INDEX(REASON_GUARDIANSHIP,2),INDEX(REASON_PASARR,2),INDEX(REASON_OTHER,2)),"Guardianship",IF(INDEX(REASON_PASARR,2)=MAX(INDEX(REASON_NO_BED,2),INDEX(REASON_BEHAVIOR,2),INDEX(REASON_SPECIAL_CARE,2),INDEX(REASON_FINANCIAL,2),INDEX(REASON_GUARDIANSHIP,2),INDEX(REASON_PASARR,2),INDEX(REASON_OTHER,2)),"PASARR",IF(INDEX(REASON_OTHER,2)=MAX(INDEX(REASON_NO_BED,2),INDEX(REASON_BEHAVIOR,2),INDEX(REASON_SPECIAL_CARE,2),INDEX(REASON_FINANCIAL,2),INDEX(REASON_GUARDIANSHIP,2),INDEX(REASON_PASARR,2),INDEX(REASON_OTHER,2)),"Other","?"))))))))</f>
        <v>No bed</v>
      </c>
      <c r="C20" s="3">
        <f>MAX(INDEX(REASON_NO_BED,2),INDEX(REASON_BEHAVIOR,2),INDEX(REASON_SPECIAL_CARE,2),INDEX(REASON_FINANCIAL,2),INDEX(REASON_GUARDIANSHIP,2),INDEX(REASON_PASARR,2),INDEX(REASON_OTHER,2))</f>
        <v>57</v>
      </c>
      <c r="D20" s="3">
        <f>IF(INDEX(REASON_NO_BED,2)=MAX(INDEX(REASON_NO_BED,2),INDEX(REASON_BEHAVIOR,2),INDEX(REASON_SPECIAL_CARE,2),INDEX(REASON_FINANCIAL,2),INDEX(REASON_GUARDIANSHIP,2),INDEX(REASON_PASARR,2),INDEX(REASON_OTHER,2)),1,0)+IF(INDEX(REASON_BEHAVIOR,2)=MAX(INDEX(REASON_NO_BED,2),INDEX(REASON_BEHAVIOR,2),INDEX(REASON_SPECIAL_CARE,2),INDEX(REASON_FINANCIAL,2),INDEX(REASON_GUARDIANSHIP,2),INDEX(REASON_PASARR,2),INDEX(REASON_OTHER,2)),1,0)+IF(INDEX(REASON_SPECIAL_CARE,2)=MAX(INDEX(REASON_NO_BED,2),INDEX(REASON_BEHAVIOR,2),INDEX(REASON_SPECIAL_CARE,2),INDEX(REASON_FINANCIAL,2),INDEX(REASON_GUARDIANSHIP,2),INDEX(REASON_PASARR,2),INDEX(REASON_OTHER,2)),1,0)+IF(INDEX(REASON_FINANCIAL,2)=MAX(INDEX(REASON_NO_BED,2),INDEX(REASON_BEHAVIOR,2),INDEX(REASON_SPECIAL_CARE,2),INDEX(REASON_FINANCIAL,2),INDEX(REASON_GUARDIANSHIP,2),INDEX(REASON_PASARR,2),INDEX(REASON_OTHER,2)),1,0)+IF(INDEX(REASON_GUARDIANSHIP,2)=MAX(INDEX(REASON_NO_BED,2),INDEX(REASON_BEHAVIOR,2),INDEX(REASON_SPECIAL_CARE,2),INDEX(REASON_FINANCIAL,2),INDEX(REASON_GUARDIANSHIP,2),INDEX(REASON_PASARR,2),INDEX(REASON_OTHER,2)),1,0)+IF(INDEX(REASON_PASARR,2)=MAX(INDEX(REASON_NO_BED,2),INDEX(REASON_BEHAVIOR,2),INDEX(REASON_SPECIAL_CARE,2),INDEX(REASON_FINANCIAL,2),INDEX(REASON_GUARDIANSHIP,2),INDEX(REASON_PASARR,2),INDEX(REASON_OTHER,2)),1,0)+IF(INDEX(REASON_OTHER,2)=MAX(INDEX(REASON_NO_BED,2),INDEX(REASON_BEHAVIOR,2),INDEX(REASON_SPECIAL_CARE,2),INDEX(REASON_FINANCIAL,2),INDEX(REASON_GUARDIANSHIP,2),INDEX(REASON_PASARR,2),INDEX(REASON_OTHER,2)),1,0)</f>
        <v>1</v>
      </c>
      <c r="E20" t="b">
        <f>INDEX(REASON_SUM,2)&lt;INDEX(DEC31_TOTAL,2)</f>
        <v>0</v>
      </c>
    </row>
    <row r="21" spans="1:5" x14ac:dyDescent="0.25">
      <c r="A21" s="13">
        <f>INDEX(YEAR,3)</f>
        <v>2019</v>
      </c>
      <c r="B21" t="str">
        <f>IF((IF(INDEX(REASON_NO_BED,3)=MAX(INDEX(REASON_NO_BED,3),INDEX(REASON_BEHAVIOR,3),INDEX(REASON_SPECIAL_CARE,3),INDEX(REASON_FINANCIAL,3),INDEX(REASON_GUARDIANSHIP,3),INDEX(REASON_PASARR,3),INDEX(REASON_OTHER,3)),1,0)+IF(INDEX(REASON_BEHAVIOR,3)=MAX(INDEX(REASON_NO_BED,3),INDEX(REASON_BEHAVIOR,3),INDEX(REASON_SPECIAL_CARE,3),INDEX(REASON_FINANCIAL,3),INDEX(REASON_GUARDIANSHIP,3),INDEX(REASON_PASARR,3),INDEX(REASON_OTHER,3)),1,0)+IF(INDEX(REASON_SPECIAL_CARE,3)=MAX(INDEX(REASON_NO_BED,3),INDEX(REASON_BEHAVIOR,3),INDEX(REASON_SPECIAL_CARE,3),INDEX(REASON_FINANCIAL,3),INDEX(REASON_GUARDIANSHIP,3),INDEX(REASON_PASARR,3),INDEX(REASON_OTHER,3)),1,0)+IF(INDEX(REASON_FINANCIAL,3)=MAX(INDEX(REASON_NO_BED,3),INDEX(REASON_BEHAVIOR,3),INDEX(REASON_SPECIAL_CARE,3),INDEX(REASON_FINANCIAL,3),INDEX(REASON_GUARDIANSHIP,3),INDEX(REASON_PASARR,3),INDEX(REASON_OTHER,3)),1,0)+IF(INDEX(REASON_GUARDIANSHIP,3)=MAX(INDEX(REASON_NO_BED,3),INDEX(REASON_BEHAVIOR,3),INDEX(REASON_SPECIAL_CARE,3),INDEX(REASON_FINANCIAL,3),INDEX(REASON_GUARDIANSHIP,3),INDEX(REASON_PASARR,3),INDEX(REASON_OTHER,3)),1,0)+IF(INDEX(REASON_PASARR,3)=MAX(INDEX(REASON_NO_BED,3),INDEX(REASON_BEHAVIOR,3),INDEX(REASON_SPECIAL_CARE,3),INDEX(REASON_FINANCIAL,3),INDEX(REASON_GUARDIANSHIP,3),INDEX(REASON_PASARR,3),INDEX(REASON_OTHER,3)),1,0)+IF(INDEX(REASON_OTHER,3)=MAX(INDEX(REASON_NO_BED,3),INDEX(REASON_BEHAVIOR,3),INDEX(REASON_SPECIAL_CARE,3),INDEX(REASON_FINANCIAL,3),INDEX(REASON_GUARDIANSHIP,3),INDEX(REASON_PASARR,3),INDEX(REASON_OTHER,3)),1,0))&gt;1,"Tie (none largest)",IF(INDEX(REASON_NO_BED,3)=MAX(INDEX(REASON_NO_BED,3),INDEX(REASON_BEHAVIOR,3),INDEX(REASON_SPECIAL_CARE,3),INDEX(REASON_FINANCIAL,3),INDEX(REASON_GUARDIANSHIP,3),INDEX(REASON_PASARR,3),INDEX(REASON_OTHER,3)),"No bed",IF(INDEX(REASON_BEHAVIOR,3)=MAX(INDEX(REASON_NO_BED,3),INDEX(REASON_BEHAVIOR,3),INDEX(REASON_SPECIAL_CARE,3),INDEX(REASON_FINANCIAL,3),INDEX(REASON_GUARDIANSHIP,3),INDEX(REASON_PASARR,3),INDEX(REASON_OTHER,3)),"Behavior",IF(INDEX(REASON_SPECIAL_CARE,3)=MAX(INDEX(REASON_NO_BED,3),INDEX(REASON_BEHAVIOR,3),INDEX(REASON_SPECIAL_CARE,3),INDEX(REASON_FINANCIAL,3),INDEX(REASON_GUARDIANSHIP,3),INDEX(REASON_PASARR,3),INDEX(REASON_OTHER,3)),"Special care",IF(INDEX(REASON_FINANCIAL,3)=MAX(INDEX(REASON_NO_BED,3),INDEX(REASON_BEHAVIOR,3),INDEX(REASON_SPECIAL_CARE,3),INDEX(REASON_FINANCIAL,3),INDEX(REASON_GUARDIANSHIP,3),INDEX(REASON_PASARR,3),INDEX(REASON_OTHER,3)),"Financial",IF(INDEX(REASON_GUARDIANSHIP,3)=MAX(INDEX(REASON_NO_BED,3),INDEX(REASON_BEHAVIOR,3),INDEX(REASON_SPECIAL_CARE,3),INDEX(REASON_FINANCIAL,3),INDEX(REASON_GUARDIANSHIP,3),INDEX(REASON_PASARR,3),INDEX(REASON_OTHER,3)),"Guardianship",IF(INDEX(REASON_PASARR,3)=MAX(INDEX(REASON_NO_BED,3),INDEX(REASON_BEHAVIOR,3),INDEX(REASON_SPECIAL_CARE,3),INDEX(REASON_FINANCIAL,3),INDEX(REASON_GUARDIANSHIP,3),INDEX(REASON_PASARR,3),INDEX(REASON_OTHER,3)),"PASARR",IF(INDEX(REASON_OTHER,3)=MAX(INDEX(REASON_NO_BED,3),INDEX(REASON_BEHAVIOR,3),INDEX(REASON_SPECIAL_CARE,3),INDEX(REASON_FINANCIAL,3),INDEX(REASON_GUARDIANSHIP,3),INDEX(REASON_PASARR,3),INDEX(REASON_OTHER,3)),"Other","?"))))))))</f>
        <v>No bed</v>
      </c>
      <c r="C21" s="3">
        <f>MAX(INDEX(REASON_NO_BED,3),INDEX(REASON_BEHAVIOR,3),INDEX(REASON_SPECIAL_CARE,3),INDEX(REASON_FINANCIAL,3),INDEX(REASON_GUARDIANSHIP,3),INDEX(REASON_PASARR,3),INDEX(REASON_OTHER,3))</f>
        <v>72</v>
      </c>
      <c r="D21" s="3">
        <f>IF(INDEX(REASON_NO_BED,3)=MAX(INDEX(REASON_NO_BED,3),INDEX(REASON_BEHAVIOR,3),INDEX(REASON_SPECIAL_CARE,3),INDEX(REASON_FINANCIAL,3),INDEX(REASON_GUARDIANSHIP,3),INDEX(REASON_PASARR,3),INDEX(REASON_OTHER,3)),1,0)+IF(INDEX(REASON_BEHAVIOR,3)=MAX(INDEX(REASON_NO_BED,3),INDEX(REASON_BEHAVIOR,3),INDEX(REASON_SPECIAL_CARE,3),INDEX(REASON_FINANCIAL,3),INDEX(REASON_GUARDIANSHIP,3),INDEX(REASON_PASARR,3),INDEX(REASON_OTHER,3)),1,0)+IF(INDEX(REASON_SPECIAL_CARE,3)=MAX(INDEX(REASON_NO_BED,3),INDEX(REASON_BEHAVIOR,3),INDEX(REASON_SPECIAL_CARE,3),INDEX(REASON_FINANCIAL,3),INDEX(REASON_GUARDIANSHIP,3),INDEX(REASON_PASARR,3),INDEX(REASON_OTHER,3)),1,0)+IF(INDEX(REASON_FINANCIAL,3)=MAX(INDEX(REASON_NO_BED,3),INDEX(REASON_BEHAVIOR,3),INDEX(REASON_SPECIAL_CARE,3),INDEX(REASON_FINANCIAL,3),INDEX(REASON_GUARDIANSHIP,3),INDEX(REASON_PASARR,3),INDEX(REASON_OTHER,3)),1,0)+IF(INDEX(REASON_GUARDIANSHIP,3)=MAX(INDEX(REASON_NO_BED,3),INDEX(REASON_BEHAVIOR,3),INDEX(REASON_SPECIAL_CARE,3),INDEX(REASON_FINANCIAL,3),INDEX(REASON_GUARDIANSHIP,3),INDEX(REASON_PASARR,3),INDEX(REASON_OTHER,3)),1,0)+IF(INDEX(REASON_PASARR,3)=MAX(INDEX(REASON_NO_BED,3),INDEX(REASON_BEHAVIOR,3),INDEX(REASON_SPECIAL_CARE,3),INDEX(REASON_FINANCIAL,3),INDEX(REASON_GUARDIANSHIP,3),INDEX(REASON_PASARR,3),INDEX(REASON_OTHER,3)),1,0)+IF(INDEX(REASON_OTHER,3)=MAX(INDEX(REASON_NO_BED,3),INDEX(REASON_BEHAVIOR,3),INDEX(REASON_SPECIAL_CARE,3),INDEX(REASON_FINANCIAL,3),INDEX(REASON_GUARDIANSHIP,3),INDEX(REASON_PASARR,3),INDEX(REASON_OTHER,3)),1,0)</f>
        <v>1</v>
      </c>
      <c r="E21" t="b">
        <f>INDEX(REASON_SUM,3)&lt;INDEX(DEC31_TOTAL,3)</f>
        <v>0</v>
      </c>
    </row>
    <row r="22" spans="1:5" x14ac:dyDescent="0.25">
      <c r="A22" s="13">
        <f>INDEX(YEAR,4)</f>
        <v>2020</v>
      </c>
      <c r="B22" t="str">
        <f>IF((IF(INDEX(REASON_NO_BED,4)=MAX(INDEX(REASON_NO_BED,4),INDEX(REASON_BEHAVIOR,4),INDEX(REASON_SPECIAL_CARE,4),INDEX(REASON_FINANCIAL,4),INDEX(REASON_GUARDIANSHIP,4),INDEX(REASON_PASARR,4),INDEX(REASON_OTHER,4)),1,0)+IF(INDEX(REASON_BEHAVIOR,4)=MAX(INDEX(REASON_NO_BED,4),INDEX(REASON_BEHAVIOR,4),INDEX(REASON_SPECIAL_CARE,4),INDEX(REASON_FINANCIAL,4),INDEX(REASON_GUARDIANSHIP,4),INDEX(REASON_PASARR,4),INDEX(REASON_OTHER,4)),1,0)+IF(INDEX(REASON_SPECIAL_CARE,4)=MAX(INDEX(REASON_NO_BED,4),INDEX(REASON_BEHAVIOR,4),INDEX(REASON_SPECIAL_CARE,4),INDEX(REASON_FINANCIAL,4),INDEX(REASON_GUARDIANSHIP,4),INDEX(REASON_PASARR,4),INDEX(REASON_OTHER,4)),1,0)+IF(INDEX(REASON_FINANCIAL,4)=MAX(INDEX(REASON_NO_BED,4),INDEX(REASON_BEHAVIOR,4),INDEX(REASON_SPECIAL_CARE,4),INDEX(REASON_FINANCIAL,4),INDEX(REASON_GUARDIANSHIP,4),INDEX(REASON_PASARR,4),INDEX(REASON_OTHER,4)),1,0)+IF(INDEX(REASON_GUARDIANSHIP,4)=MAX(INDEX(REASON_NO_BED,4),INDEX(REASON_BEHAVIOR,4),INDEX(REASON_SPECIAL_CARE,4),INDEX(REASON_FINANCIAL,4),INDEX(REASON_GUARDIANSHIP,4),INDEX(REASON_PASARR,4),INDEX(REASON_OTHER,4)),1,0)+IF(INDEX(REASON_PASARR,4)=MAX(INDEX(REASON_NO_BED,4),INDEX(REASON_BEHAVIOR,4),INDEX(REASON_SPECIAL_CARE,4),INDEX(REASON_FINANCIAL,4),INDEX(REASON_GUARDIANSHIP,4),INDEX(REASON_PASARR,4),INDEX(REASON_OTHER,4)),1,0)+IF(INDEX(REASON_OTHER,4)=MAX(INDEX(REASON_NO_BED,4),INDEX(REASON_BEHAVIOR,4),INDEX(REASON_SPECIAL_CARE,4),INDEX(REASON_FINANCIAL,4),INDEX(REASON_GUARDIANSHIP,4),INDEX(REASON_PASARR,4),INDEX(REASON_OTHER,4)),1,0))&gt;1,"Tie (none largest)",IF(INDEX(REASON_NO_BED,4)=MAX(INDEX(REASON_NO_BED,4),INDEX(REASON_BEHAVIOR,4),INDEX(REASON_SPECIAL_CARE,4),INDEX(REASON_FINANCIAL,4),INDEX(REASON_GUARDIANSHIP,4),INDEX(REASON_PASARR,4),INDEX(REASON_OTHER,4)),"No bed",IF(INDEX(REASON_BEHAVIOR,4)=MAX(INDEX(REASON_NO_BED,4),INDEX(REASON_BEHAVIOR,4),INDEX(REASON_SPECIAL_CARE,4),INDEX(REASON_FINANCIAL,4),INDEX(REASON_GUARDIANSHIP,4),INDEX(REASON_PASARR,4),INDEX(REASON_OTHER,4)),"Behavior",IF(INDEX(REASON_SPECIAL_CARE,4)=MAX(INDEX(REASON_NO_BED,4),INDEX(REASON_BEHAVIOR,4),INDEX(REASON_SPECIAL_CARE,4),INDEX(REASON_FINANCIAL,4),INDEX(REASON_GUARDIANSHIP,4),INDEX(REASON_PASARR,4),INDEX(REASON_OTHER,4)),"Special care",IF(INDEX(REASON_FINANCIAL,4)=MAX(INDEX(REASON_NO_BED,4),INDEX(REASON_BEHAVIOR,4),INDEX(REASON_SPECIAL_CARE,4),INDEX(REASON_FINANCIAL,4),INDEX(REASON_GUARDIANSHIP,4),INDEX(REASON_PASARR,4),INDEX(REASON_OTHER,4)),"Financial",IF(INDEX(REASON_GUARDIANSHIP,4)=MAX(INDEX(REASON_NO_BED,4),INDEX(REASON_BEHAVIOR,4),INDEX(REASON_SPECIAL_CARE,4),INDEX(REASON_FINANCIAL,4),INDEX(REASON_GUARDIANSHIP,4),INDEX(REASON_PASARR,4),INDEX(REASON_OTHER,4)),"Guardianship",IF(INDEX(REASON_PASARR,4)=MAX(INDEX(REASON_NO_BED,4),INDEX(REASON_BEHAVIOR,4),INDEX(REASON_SPECIAL_CARE,4),INDEX(REASON_FINANCIAL,4),INDEX(REASON_GUARDIANSHIP,4),INDEX(REASON_PASARR,4),INDEX(REASON_OTHER,4)),"PASARR",IF(INDEX(REASON_OTHER,4)=MAX(INDEX(REASON_NO_BED,4),INDEX(REASON_BEHAVIOR,4),INDEX(REASON_SPECIAL_CARE,4),INDEX(REASON_FINANCIAL,4),INDEX(REASON_GUARDIANSHIP,4),INDEX(REASON_PASARR,4),INDEX(REASON_OTHER,4)),"Other","?"))))))))</f>
        <v>No bed</v>
      </c>
      <c r="C22" s="3">
        <f>MAX(INDEX(REASON_NO_BED,4),INDEX(REASON_BEHAVIOR,4),INDEX(REASON_SPECIAL_CARE,4),INDEX(REASON_FINANCIAL,4),INDEX(REASON_GUARDIANSHIP,4),INDEX(REASON_PASARR,4),INDEX(REASON_OTHER,4))</f>
        <v>41</v>
      </c>
      <c r="D22" s="3">
        <f>IF(INDEX(REASON_NO_BED,4)=MAX(INDEX(REASON_NO_BED,4),INDEX(REASON_BEHAVIOR,4),INDEX(REASON_SPECIAL_CARE,4),INDEX(REASON_FINANCIAL,4),INDEX(REASON_GUARDIANSHIP,4),INDEX(REASON_PASARR,4),INDEX(REASON_OTHER,4)),1,0)+IF(INDEX(REASON_BEHAVIOR,4)=MAX(INDEX(REASON_NO_BED,4),INDEX(REASON_BEHAVIOR,4),INDEX(REASON_SPECIAL_CARE,4),INDEX(REASON_FINANCIAL,4),INDEX(REASON_GUARDIANSHIP,4),INDEX(REASON_PASARR,4),INDEX(REASON_OTHER,4)),1,0)+IF(INDEX(REASON_SPECIAL_CARE,4)=MAX(INDEX(REASON_NO_BED,4),INDEX(REASON_BEHAVIOR,4),INDEX(REASON_SPECIAL_CARE,4),INDEX(REASON_FINANCIAL,4),INDEX(REASON_GUARDIANSHIP,4),INDEX(REASON_PASARR,4),INDEX(REASON_OTHER,4)),1,0)+IF(INDEX(REASON_FINANCIAL,4)=MAX(INDEX(REASON_NO_BED,4),INDEX(REASON_BEHAVIOR,4),INDEX(REASON_SPECIAL_CARE,4),INDEX(REASON_FINANCIAL,4),INDEX(REASON_GUARDIANSHIP,4),INDEX(REASON_PASARR,4),INDEX(REASON_OTHER,4)),1,0)+IF(INDEX(REASON_GUARDIANSHIP,4)=MAX(INDEX(REASON_NO_BED,4),INDEX(REASON_BEHAVIOR,4),INDEX(REASON_SPECIAL_CARE,4),INDEX(REASON_FINANCIAL,4),INDEX(REASON_GUARDIANSHIP,4),INDEX(REASON_PASARR,4),INDEX(REASON_OTHER,4)),1,0)+IF(INDEX(REASON_PASARR,4)=MAX(INDEX(REASON_NO_BED,4),INDEX(REASON_BEHAVIOR,4),INDEX(REASON_SPECIAL_CARE,4),INDEX(REASON_FINANCIAL,4),INDEX(REASON_GUARDIANSHIP,4),INDEX(REASON_PASARR,4),INDEX(REASON_OTHER,4)),1,0)+IF(INDEX(REASON_OTHER,4)=MAX(INDEX(REASON_NO_BED,4),INDEX(REASON_BEHAVIOR,4),INDEX(REASON_SPECIAL_CARE,4),INDEX(REASON_FINANCIAL,4),INDEX(REASON_GUARDIANSHIP,4),INDEX(REASON_PASARR,4),INDEX(REASON_OTHER,4)),1,0)</f>
        <v>1</v>
      </c>
      <c r="E22" t="b">
        <f>INDEX(REASON_SUM,4)&lt;INDEX(DEC31_TOTAL,4)</f>
        <v>0</v>
      </c>
    </row>
    <row r="23" spans="1:5" x14ac:dyDescent="0.25">
      <c r="A23" s="13">
        <f>INDEX(YEAR,5)</f>
        <v>2021</v>
      </c>
      <c r="B23" t="str">
        <f>IF((IF(INDEX(REASON_NO_BED,5)=MAX(INDEX(REASON_NO_BED,5),INDEX(REASON_BEHAVIOR,5),INDEX(REASON_SPECIAL_CARE,5),INDEX(REASON_FINANCIAL,5),INDEX(REASON_GUARDIANSHIP,5),INDEX(REASON_PASARR,5),INDEX(REASON_OTHER,5)),1,0)+IF(INDEX(REASON_BEHAVIOR,5)=MAX(INDEX(REASON_NO_BED,5),INDEX(REASON_BEHAVIOR,5),INDEX(REASON_SPECIAL_CARE,5),INDEX(REASON_FINANCIAL,5),INDEX(REASON_GUARDIANSHIP,5),INDEX(REASON_PASARR,5),INDEX(REASON_OTHER,5)),1,0)+IF(INDEX(REASON_SPECIAL_CARE,5)=MAX(INDEX(REASON_NO_BED,5),INDEX(REASON_BEHAVIOR,5),INDEX(REASON_SPECIAL_CARE,5),INDEX(REASON_FINANCIAL,5),INDEX(REASON_GUARDIANSHIP,5),INDEX(REASON_PASARR,5),INDEX(REASON_OTHER,5)),1,0)+IF(INDEX(REASON_FINANCIAL,5)=MAX(INDEX(REASON_NO_BED,5),INDEX(REASON_BEHAVIOR,5),INDEX(REASON_SPECIAL_CARE,5),INDEX(REASON_FINANCIAL,5),INDEX(REASON_GUARDIANSHIP,5),INDEX(REASON_PASARR,5),INDEX(REASON_OTHER,5)),1,0)+IF(INDEX(REASON_GUARDIANSHIP,5)=MAX(INDEX(REASON_NO_BED,5),INDEX(REASON_BEHAVIOR,5),INDEX(REASON_SPECIAL_CARE,5),INDEX(REASON_FINANCIAL,5),INDEX(REASON_GUARDIANSHIP,5),INDEX(REASON_PASARR,5),INDEX(REASON_OTHER,5)),1,0)+IF(INDEX(REASON_PASARR,5)=MAX(INDEX(REASON_NO_BED,5),INDEX(REASON_BEHAVIOR,5),INDEX(REASON_SPECIAL_CARE,5),INDEX(REASON_FINANCIAL,5),INDEX(REASON_GUARDIANSHIP,5),INDEX(REASON_PASARR,5),INDEX(REASON_OTHER,5)),1,0)+IF(INDEX(REASON_OTHER,5)=MAX(INDEX(REASON_NO_BED,5),INDEX(REASON_BEHAVIOR,5),INDEX(REASON_SPECIAL_CARE,5),INDEX(REASON_FINANCIAL,5),INDEX(REASON_GUARDIANSHIP,5),INDEX(REASON_PASARR,5),INDEX(REASON_OTHER,5)),1,0))&gt;1,"Tie (none largest)",IF(INDEX(REASON_NO_BED,5)=MAX(INDEX(REASON_NO_BED,5),INDEX(REASON_BEHAVIOR,5),INDEX(REASON_SPECIAL_CARE,5),INDEX(REASON_FINANCIAL,5),INDEX(REASON_GUARDIANSHIP,5),INDEX(REASON_PASARR,5),INDEX(REASON_OTHER,5)),"No bed",IF(INDEX(REASON_BEHAVIOR,5)=MAX(INDEX(REASON_NO_BED,5),INDEX(REASON_BEHAVIOR,5),INDEX(REASON_SPECIAL_CARE,5),INDEX(REASON_FINANCIAL,5),INDEX(REASON_GUARDIANSHIP,5),INDEX(REASON_PASARR,5),INDEX(REASON_OTHER,5)),"Behavior",IF(INDEX(REASON_SPECIAL_CARE,5)=MAX(INDEX(REASON_NO_BED,5),INDEX(REASON_BEHAVIOR,5),INDEX(REASON_SPECIAL_CARE,5),INDEX(REASON_FINANCIAL,5),INDEX(REASON_GUARDIANSHIP,5),INDEX(REASON_PASARR,5),INDEX(REASON_OTHER,5)),"Special care",IF(INDEX(REASON_FINANCIAL,5)=MAX(INDEX(REASON_NO_BED,5),INDEX(REASON_BEHAVIOR,5),INDEX(REASON_SPECIAL_CARE,5),INDEX(REASON_FINANCIAL,5),INDEX(REASON_GUARDIANSHIP,5),INDEX(REASON_PASARR,5),INDEX(REASON_OTHER,5)),"Financial",IF(INDEX(REASON_GUARDIANSHIP,5)=MAX(INDEX(REASON_NO_BED,5),INDEX(REASON_BEHAVIOR,5),INDEX(REASON_SPECIAL_CARE,5),INDEX(REASON_FINANCIAL,5),INDEX(REASON_GUARDIANSHIP,5),INDEX(REASON_PASARR,5),INDEX(REASON_OTHER,5)),"Guardianship",IF(INDEX(REASON_PASARR,5)=MAX(INDEX(REASON_NO_BED,5),INDEX(REASON_BEHAVIOR,5),INDEX(REASON_SPECIAL_CARE,5),INDEX(REASON_FINANCIAL,5),INDEX(REASON_GUARDIANSHIP,5),INDEX(REASON_PASARR,5),INDEX(REASON_OTHER,5)),"PASARR",IF(INDEX(REASON_OTHER,5)=MAX(INDEX(REASON_NO_BED,5),INDEX(REASON_BEHAVIOR,5),INDEX(REASON_SPECIAL_CARE,5),INDEX(REASON_FINANCIAL,5),INDEX(REASON_GUARDIANSHIP,5),INDEX(REASON_PASARR,5),INDEX(REASON_OTHER,5)),"Other","?"))))))))</f>
        <v>No bed</v>
      </c>
      <c r="C23" s="3">
        <f>MAX(INDEX(REASON_NO_BED,5),INDEX(REASON_BEHAVIOR,5),INDEX(REASON_SPECIAL_CARE,5),INDEX(REASON_FINANCIAL,5),INDEX(REASON_GUARDIANSHIP,5),INDEX(REASON_PASARR,5),INDEX(REASON_OTHER,5))</f>
        <v>50</v>
      </c>
      <c r="D23" s="3">
        <f>IF(INDEX(REASON_NO_BED,5)=MAX(INDEX(REASON_NO_BED,5),INDEX(REASON_BEHAVIOR,5),INDEX(REASON_SPECIAL_CARE,5),INDEX(REASON_FINANCIAL,5),INDEX(REASON_GUARDIANSHIP,5),INDEX(REASON_PASARR,5),INDEX(REASON_OTHER,5)),1,0)+IF(INDEX(REASON_BEHAVIOR,5)=MAX(INDEX(REASON_NO_BED,5),INDEX(REASON_BEHAVIOR,5),INDEX(REASON_SPECIAL_CARE,5),INDEX(REASON_FINANCIAL,5),INDEX(REASON_GUARDIANSHIP,5),INDEX(REASON_PASARR,5),INDEX(REASON_OTHER,5)),1,0)+IF(INDEX(REASON_SPECIAL_CARE,5)=MAX(INDEX(REASON_NO_BED,5),INDEX(REASON_BEHAVIOR,5),INDEX(REASON_SPECIAL_CARE,5),INDEX(REASON_FINANCIAL,5),INDEX(REASON_GUARDIANSHIP,5),INDEX(REASON_PASARR,5),INDEX(REASON_OTHER,5)),1,0)+IF(INDEX(REASON_FINANCIAL,5)=MAX(INDEX(REASON_NO_BED,5),INDEX(REASON_BEHAVIOR,5),INDEX(REASON_SPECIAL_CARE,5),INDEX(REASON_FINANCIAL,5),INDEX(REASON_GUARDIANSHIP,5),INDEX(REASON_PASARR,5),INDEX(REASON_OTHER,5)),1,0)+IF(INDEX(REASON_GUARDIANSHIP,5)=MAX(INDEX(REASON_NO_BED,5),INDEX(REASON_BEHAVIOR,5),INDEX(REASON_SPECIAL_CARE,5),INDEX(REASON_FINANCIAL,5),INDEX(REASON_GUARDIANSHIP,5),INDEX(REASON_PASARR,5),INDEX(REASON_OTHER,5)),1,0)+IF(INDEX(REASON_PASARR,5)=MAX(INDEX(REASON_NO_BED,5),INDEX(REASON_BEHAVIOR,5),INDEX(REASON_SPECIAL_CARE,5),INDEX(REASON_FINANCIAL,5),INDEX(REASON_GUARDIANSHIP,5),INDEX(REASON_PASARR,5),INDEX(REASON_OTHER,5)),1,0)+IF(INDEX(REASON_OTHER,5)=MAX(INDEX(REASON_NO_BED,5),INDEX(REASON_BEHAVIOR,5),INDEX(REASON_SPECIAL_CARE,5),INDEX(REASON_FINANCIAL,5),INDEX(REASON_GUARDIANSHIP,5),INDEX(REASON_PASARR,5),INDEX(REASON_OTHER,5)),1,0)</f>
        <v>1</v>
      </c>
      <c r="E23" t="b">
        <f>INDEX(REASON_SUM,5)&lt;INDEX(DEC31_TOTAL,5)</f>
        <v>0</v>
      </c>
    </row>
    <row r="24" spans="1:5" x14ac:dyDescent="0.25">
      <c r="A24" s="13">
        <f>INDEX(YEAR,6)</f>
        <v>2022</v>
      </c>
      <c r="B24" t="str">
        <f>IF((IF(INDEX(REASON_NO_BED,6)=MAX(INDEX(REASON_NO_BED,6),INDEX(REASON_BEHAVIOR,6),INDEX(REASON_SPECIAL_CARE,6),INDEX(REASON_FINANCIAL,6),INDEX(REASON_GUARDIANSHIP,6),INDEX(REASON_PASARR,6),INDEX(REASON_OTHER,6)),1,0)+IF(INDEX(REASON_BEHAVIOR,6)=MAX(INDEX(REASON_NO_BED,6),INDEX(REASON_BEHAVIOR,6),INDEX(REASON_SPECIAL_CARE,6),INDEX(REASON_FINANCIAL,6),INDEX(REASON_GUARDIANSHIP,6),INDEX(REASON_PASARR,6),INDEX(REASON_OTHER,6)),1,0)+IF(INDEX(REASON_SPECIAL_CARE,6)=MAX(INDEX(REASON_NO_BED,6),INDEX(REASON_BEHAVIOR,6),INDEX(REASON_SPECIAL_CARE,6),INDEX(REASON_FINANCIAL,6),INDEX(REASON_GUARDIANSHIP,6),INDEX(REASON_PASARR,6),INDEX(REASON_OTHER,6)),1,0)+IF(INDEX(REASON_FINANCIAL,6)=MAX(INDEX(REASON_NO_BED,6),INDEX(REASON_BEHAVIOR,6),INDEX(REASON_SPECIAL_CARE,6),INDEX(REASON_FINANCIAL,6),INDEX(REASON_GUARDIANSHIP,6),INDEX(REASON_PASARR,6),INDEX(REASON_OTHER,6)),1,0)+IF(INDEX(REASON_GUARDIANSHIP,6)=MAX(INDEX(REASON_NO_BED,6),INDEX(REASON_BEHAVIOR,6),INDEX(REASON_SPECIAL_CARE,6),INDEX(REASON_FINANCIAL,6),INDEX(REASON_GUARDIANSHIP,6),INDEX(REASON_PASARR,6),INDEX(REASON_OTHER,6)),1,0)+IF(INDEX(REASON_PASARR,6)=MAX(INDEX(REASON_NO_BED,6),INDEX(REASON_BEHAVIOR,6),INDEX(REASON_SPECIAL_CARE,6),INDEX(REASON_FINANCIAL,6),INDEX(REASON_GUARDIANSHIP,6),INDEX(REASON_PASARR,6),INDEX(REASON_OTHER,6)),1,0)+IF(INDEX(REASON_OTHER,6)=MAX(INDEX(REASON_NO_BED,6),INDEX(REASON_BEHAVIOR,6),INDEX(REASON_SPECIAL_CARE,6),INDEX(REASON_FINANCIAL,6),INDEX(REASON_GUARDIANSHIP,6),INDEX(REASON_PASARR,6),INDEX(REASON_OTHER,6)),1,0))&gt;1,"Tie (none largest)",IF(INDEX(REASON_NO_BED,6)=MAX(INDEX(REASON_NO_BED,6),INDEX(REASON_BEHAVIOR,6),INDEX(REASON_SPECIAL_CARE,6),INDEX(REASON_FINANCIAL,6),INDEX(REASON_GUARDIANSHIP,6),INDEX(REASON_PASARR,6),INDEX(REASON_OTHER,6)),"No bed",IF(INDEX(REASON_BEHAVIOR,6)=MAX(INDEX(REASON_NO_BED,6),INDEX(REASON_BEHAVIOR,6),INDEX(REASON_SPECIAL_CARE,6),INDEX(REASON_FINANCIAL,6),INDEX(REASON_GUARDIANSHIP,6),INDEX(REASON_PASARR,6),INDEX(REASON_OTHER,6)),"Behavior",IF(INDEX(REASON_SPECIAL_CARE,6)=MAX(INDEX(REASON_NO_BED,6),INDEX(REASON_BEHAVIOR,6),INDEX(REASON_SPECIAL_CARE,6),INDEX(REASON_FINANCIAL,6),INDEX(REASON_GUARDIANSHIP,6),INDEX(REASON_PASARR,6),INDEX(REASON_OTHER,6)),"Special care",IF(INDEX(REASON_FINANCIAL,6)=MAX(INDEX(REASON_NO_BED,6),INDEX(REASON_BEHAVIOR,6),INDEX(REASON_SPECIAL_CARE,6),INDEX(REASON_FINANCIAL,6),INDEX(REASON_GUARDIANSHIP,6),INDEX(REASON_PASARR,6),INDEX(REASON_OTHER,6)),"Financial",IF(INDEX(REASON_GUARDIANSHIP,6)=MAX(INDEX(REASON_NO_BED,6),INDEX(REASON_BEHAVIOR,6),INDEX(REASON_SPECIAL_CARE,6),INDEX(REASON_FINANCIAL,6),INDEX(REASON_GUARDIANSHIP,6),INDEX(REASON_PASARR,6),INDEX(REASON_OTHER,6)),"Guardianship",IF(INDEX(REASON_PASARR,6)=MAX(INDEX(REASON_NO_BED,6),INDEX(REASON_BEHAVIOR,6),INDEX(REASON_SPECIAL_CARE,6),INDEX(REASON_FINANCIAL,6),INDEX(REASON_GUARDIANSHIP,6),INDEX(REASON_PASARR,6),INDEX(REASON_OTHER,6)),"PASARR",IF(INDEX(REASON_OTHER,6)=MAX(INDEX(REASON_NO_BED,6),INDEX(REASON_BEHAVIOR,6),INDEX(REASON_SPECIAL_CARE,6),INDEX(REASON_FINANCIAL,6),INDEX(REASON_GUARDIANSHIP,6),INDEX(REASON_PASARR,6),INDEX(REASON_OTHER,6)),"Other","?"))))))))</f>
        <v>Financial</v>
      </c>
      <c r="C24" s="3">
        <f>MAX(INDEX(REASON_NO_BED,6),INDEX(REASON_BEHAVIOR,6),INDEX(REASON_SPECIAL_CARE,6),INDEX(REASON_FINANCIAL,6),INDEX(REASON_GUARDIANSHIP,6),INDEX(REASON_PASARR,6),INDEX(REASON_OTHER,6))</f>
        <v>75</v>
      </c>
      <c r="D24" s="3">
        <f>IF(INDEX(REASON_NO_BED,6)=MAX(INDEX(REASON_NO_BED,6),INDEX(REASON_BEHAVIOR,6),INDEX(REASON_SPECIAL_CARE,6),INDEX(REASON_FINANCIAL,6),INDEX(REASON_GUARDIANSHIP,6),INDEX(REASON_PASARR,6),INDEX(REASON_OTHER,6)),1,0)+IF(INDEX(REASON_BEHAVIOR,6)=MAX(INDEX(REASON_NO_BED,6),INDEX(REASON_BEHAVIOR,6),INDEX(REASON_SPECIAL_CARE,6),INDEX(REASON_FINANCIAL,6),INDEX(REASON_GUARDIANSHIP,6),INDEX(REASON_PASARR,6),INDEX(REASON_OTHER,6)),1,0)+IF(INDEX(REASON_SPECIAL_CARE,6)=MAX(INDEX(REASON_NO_BED,6),INDEX(REASON_BEHAVIOR,6),INDEX(REASON_SPECIAL_CARE,6),INDEX(REASON_FINANCIAL,6),INDEX(REASON_GUARDIANSHIP,6),INDEX(REASON_PASARR,6),INDEX(REASON_OTHER,6)),1,0)+IF(INDEX(REASON_FINANCIAL,6)=MAX(INDEX(REASON_NO_BED,6),INDEX(REASON_BEHAVIOR,6),INDEX(REASON_SPECIAL_CARE,6),INDEX(REASON_FINANCIAL,6),INDEX(REASON_GUARDIANSHIP,6),INDEX(REASON_PASARR,6),INDEX(REASON_OTHER,6)),1,0)+IF(INDEX(REASON_GUARDIANSHIP,6)=MAX(INDEX(REASON_NO_BED,6),INDEX(REASON_BEHAVIOR,6),INDEX(REASON_SPECIAL_CARE,6),INDEX(REASON_FINANCIAL,6),INDEX(REASON_GUARDIANSHIP,6),INDEX(REASON_PASARR,6),INDEX(REASON_OTHER,6)),1,0)+IF(INDEX(REASON_PASARR,6)=MAX(INDEX(REASON_NO_BED,6),INDEX(REASON_BEHAVIOR,6),INDEX(REASON_SPECIAL_CARE,6),INDEX(REASON_FINANCIAL,6),INDEX(REASON_GUARDIANSHIP,6),INDEX(REASON_PASARR,6),INDEX(REASON_OTHER,6)),1,0)+IF(INDEX(REASON_OTHER,6)=MAX(INDEX(REASON_NO_BED,6),INDEX(REASON_BEHAVIOR,6),INDEX(REASON_SPECIAL_CARE,6),INDEX(REASON_FINANCIAL,6),INDEX(REASON_GUARDIANSHIP,6),INDEX(REASON_PASARR,6),INDEX(REASON_OTHER,6)),1,0)</f>
        <v>1</v>
      </c>
      <c r="E24" t="b">
        <f>INDEX(REASON_SUM,6)&lt;INDEX(DEC31_TOTAL,6)</f>
        <v>0</v>
      </c>
    </row>
    <row r="25" spans="1:5" x14ac:dyDescent="0.25">
      <c r="A25" s="13">
        <f>INDEX(YEAR,7)</f>
        <v>2023</v>
      </c>
      <c r="B25" t="str">
        <f>IF((IF(INDEX(REASON_NO_BED,7)=MAX(INDEX(REASON_NO_BED,7),INDEX(REASON_BEHAVIOR,7),INDEX(REASON_SPECIAL_CARE,7),INDEX(REASON_FINANCIAL,7),INDEX(REASON_GUARDIANSHIP,7),INDEX(REASON_PASARR,7),INDEX(REASON_OTHER,7)),1,0)+IF(INDEX(REASON_BEHAVIOR,7)=MAX(INDEX(REASON_NO_BED,7),INDEX(REASON_BEHAVIOR,7),INDEX(REASON_SPECIAL_CARE,7),INDEX(REASON_FINANCIAL,7),INDEX(REASON_GUARDIANSHIP,7),INDEX(REASON_PASARR,7),INDEX(REASON_OTHER,7)),1,0)+IF(INDEX(REASON_SPECIAL_CARE,7)=MAX(INDEX(REASON_NO_BED,7),INDEX(REASON_BEHAVIOR,7),INDEX(REASON_SPECIAL_CARE,7),INDEX(REASON_FINANCIAL,7),INDEX(REASON_GUARDIANSHIP,7),INDEX(REASON_PASARR,7),INDEX(REASON_OTHER,7)),1,0)+IF(INDEX(REASON_FINANCIAL,7)=MAX(INDEX(REASON_NO_BED,7),INDEX(REASON_BEHAVIOR,7),INDEX(REASON_SPECIAL_CARE,7),INDEX(REASON_FINANCIAL,7),INDEX(REASON_GUARDIANSHIP,7),INDEX(REASON_PASARR,7),INDEX(REASON_OTHER,7)),1,0)+IF(INDEX(REASON_GUARDIANSHIP,7)=MAX(INDEX(REASON_NO_BED,7),INDEX(REASON_BEHAVIOR,7),INDEX(REASON_SPECIAL_CARE,7),INDEX(REASON_FINANCIAL,7),INDEX(REASON_GUARDIANSHIP,7),INDEX(REASON_PASARR,7),INDEX(REASON_OTHER,7)),1,0)+IF(INDEX(REASON_PASARR,7)=MAX(INDEX(REASON_NO_BED,7),INDEX(REASON_BEHAVIOR,7),INDEX(REASON_SPECIAL_CARE,7),INDEX(REASON_FINANCIAL,7),INDEX(REASON_GUARDIANSHIP,7),INDEX(REASON_PASARR,7),INDEX(REASON_OTHER,7)),1,0)+IF(INDEX(REASON_OTHER,7)=MAX(INDEX(REASON_NO_BED,7),INDEX(REASON_BEHAVIOR,7),INDEX(REASON_SPECIAL_CARE,7),INDEX(REASON_FINANCIAL,7),INDEX(REASON_GUARDIANSHIP,7),INDEX(REASON_PASARR,7),INDEX(REASON_OTHER,7)),1,0))&gt;1,"Tie (none largest)",IF(INDEX(REASON_NO_BED,7)=MAX(INDEX(REASON_NO_BED,7),INDEX(REASON_BEHAVIOR,7),INDEX(REASON_SPECIAL_CARE,7),INDEX(REASON_FINANCIAL,7),INDEX(REASON_GUARDIANSHIP,7),INDEX(REASON_PASARR,7),INDEX(REASON_OTHER,7)),"No bed",IF(INDEX(REASON_BEHAVIOR,7)=MAX(INDEX(REASON_NO_BED,7),INDEX(REASON_BEHAVIOR,7),INDEX(REASON_SPECIAL_CARE,7),INDEX(REASON_FINANCIAL,7),INDEX(REASON_GUARDIANSHIP,7),INDEX(REASON_PASARR,7),INDEX(REASON_OTHER,7)),"Behavior",IF(INDEX(REASON_SPECIAL_CARE,7)=MAX(INDEX(REASON_NO_BED,7),INDEX(REASON_BEHAVIOR,7),INDEX(REASON_SPECIAL_CARE,7),INDEX(REASON_FINANCIAL,7),INDEX(REASON_GUARDIANSHIP,7),INDEX(REASON_PASARR,7),INDEX(REASON_OTHER,7)),"Special care",IF(INDEX(REASON_FINANCIAL,7)=MAX(INDEX(REASON_NO_BED,7),INDEX(REASON_BEHAVIOR,7),INDEX(REASON_SPECIAL_CARE,7),INDEX(REASON_FINANCIAL,7),INDEX(REASON_GUARDIANSHIP,7),INDEX(REASON_PASARR,7),INDEX(REASON_OTHER,7)),"Financial",IF(INDEX(REASON_GUARDIANSHIP,7)=MAX(INDEX(REASON_NO_BED,7),INDEX(REASON_BEHAVIOR,7),INDEX(REASON_SPECIAL_CARE,7),INDEX(REASON_FINANCIAL,7),INDEX(REASON_GUARDIANSHIP,7),INDEX(REASON_PASARR,7),INDEX(REASON_OTHER,7)),"Guardianship",IF(INDEX(REASON_PASARR,7)=MAX(INDEX(REASON_NO_BED,7),INDEX(REASON_BEHAVIOR,7),INDEX(REASON_SPECIAL_CARE,7),INDEX(REASON_FINANCIAL,7),INDEX(REASON_GUARDIANSHIP,7),INDEX(REASON_PASARR,7),INDEX(REASON_OTHER,7)),"PASARR",IF(INDEX(REASON_OTHER,7)=MAX(INDEX(REASON_NO_BED,7),INDEX(REASON_BEHAVIOR,7),INDEX(REASON_SPECIAL_CARE,7),INDEX(REASON_FINANCIAL,7),INDEX(REASON_GUARDIANSHIP,7),INDEX(REASON_PASARR,7),INDEX(REASON_OTHER,7)),"Other","?"))))))))</f>
        <v>Behavior</v>
      </c>
      <c r="C25" s="3">
        <f>MAX(INDEX(REASON_NO_BED,7),INDEX(REASON_BEHAVIOR,7),INDEX(REASON_SPECIAL_CARE,7),INDEX(REASON_FINANCIAL,7),INDEX(REASON_GUARDIANSHIP,7),INDEX(REASON_PASARR,7),INDEX(REASON_OTHER,7))</f>
        <v>48</v>
      </c>
      <c r="D25" s="3">
        <f>IF(INDEX(REASON_NO_BED,7)=MAX(INDEX(REASON_NO_BED,7),INDEX(REASON_BEHAVIOR,7),INDEX(REASON_SPECIAL_CARE,7),INDEX(REASON_FINANCIAL,7),INDEX(REASON_GUARDIANSHIP,7),INDEX(REASON_PASARR,7),INDEX(REASON_OTHER,7)),1,0)+IF(INDEX(REASON_BEHAVIOR,7)=MAX(INDEX(REASON_NO_BED,7),INDEX(REASON_BEHAVIOR,7),INDEX(REASON_SPECIAL_CARE,7),INDEX(REASON_FINANCIAL,7),INDEX(REASON_GUARDIANSHIP,7),INDEX(REASON_PASARR,7),INDEX(REASON_OTHER,7)),1,0)+IF(INDEX(REASON_SPECIAL_CARE,7)=MAX(INDEX(REASON_NO_BED,7),INDEX(REASON_BEHAVIOR,7),INDEX(REASON_SPECIAL_CARE,7),INDEX(REASON_FINANCIAL,7),INDEX(REASON_GUARDIANSHIP,7),INDEX(REASON_PASARR,7),INDEX(REASON_OTHER,7)),1,0)+IF(INDEX(REASON_FINANCIAL,7)=MAX(INDEX(REASON_NO_BED,7),INDEX(REASON_BEHAVIOR,7),INDEX(REASON_SPECIAL_CARE,7),INDEX(REASON_FINANCIAL,7),INDEX(REASON_GUARDIANSHIP,7),INDEX(REASON_PASARR,7),INDEX(REASON_OTHER,7)),1,0)+IF(INDEX(REASON_GUARDIANSHIP,7)=MAX(INDEX(REASON_NO_BED,7),INDEX(REASON_BEHAVIOR,7),INDEX(REASON_SPECIAL_CARE,7),INDEX(REASON_FINANCIAL,7),INDEX(REASON_GUARDIANSHIP,7),INDEX(REASON_PASARR,7),INDEX(REASON_OTHER,7)),1,0)+IF(INDEX(REASON_PASARR,7)=MAX(INDEX(REASON_NO_BED,7),INDEX(REASON_BEHAVIOR,7),INDEX(REASON_SPECIAL_CARE,7),INDEX(REASON_FINANCIAL,7),INDEX(REASON_GUARDIANSHIP,7),INDEX(REASON_PASARR,7),INDEX(REASON_OTHER,7)),1,0)+IF(INDEX(REASON_OTHER,7)=MAX(INDEX(REASON_NO_BED,7),INDEX(REASON_BEHAVIOR,7),INDEX(REASON_SPECIAL_CARE,7),INDEX(REASON_FINANCIAL,7),INDEX(REASON_GUARDIANSHIP,7),INDEX(REASON_PASARR,7),INDEX(REASON_OTHER,7)),1,0)</f>
        <v>1</v>
      </c>
      <c r="E25" t="b">
        <f>INDEX(REASON_SUM,7)&lt;INDEX(DEC31_TOTAL,7)</f>
        <v>0</v>
      </c>
    </row>
    <row r="26" spans="1:5" x14ac:dyDescent="0.25">
      <c r="A26" s="13">
        <f>INDEX(YEAR,8)</f>
        <v>2024</v>
      </c>
      <c r="B26" t="str">
        <f>IF((IF(INDEX(REASON_NO_BED,8)=MAX(INDEX(REASON_NO_BED,8),INDEX(REASON_BEHAVIOR,8),INDEX(REASON_SPECIAL_CARE,8),INDEX(REASON_FINANCIAL,8),INDEX(REASON_GUARDIANSHIP,8),INDEX(REASON_PASARR,8),INDEX(REASON_OTHER,8)),1,0)+IF(INDEX(REASON_BEHAVIOR,8)=MAX(INDEX(REASON_NO_BED,8),INDEX(REASON_BEHAVIOR,8),INDEX(REASON_SPECIAL_CARE,8),INDEX(REASON_FINANCIAL,8),INDEX(REASON_GUARDIANSHIP,8),INDEX(REASON_PASARR,8),INDEX(REASON_OTHER,8)),1,0)+IF(INDEX(REASON_SPECIAL_CARE,8)=MAX(INDEX(REASON_NO_BED,8),INDEX(REASON_BEHAVIOR,8),INDEX(REASON_SPECIAL_CARE,8),INDEX(REASON_FINANCIAL,8),INDEX(REASON_GUARDIANSHIP,8),INDEX(REASON_PASARR,8),INDEX(REASON_OTHER,8)),1,0)+IF(INDEX(REASON_FINANCIAL,8)=MAX(INDEX(REASON_NO_BED,8),INDEX(REASON_BEHAVIOR,8),INDEX(REASON_SPECIAL_CARE,8),INDEX(REASON_FINANCIAL,8),INDEX(REASON_GUARDIANSHIP,8),INDEX(REASON_PASARR,8),INDEX(REASON_OTHER,8)),1,0)+IF(INDEX(REASON_GUARDIANSHIP,8)=MAX(INDEX(REASON_NO_BED,8),INDEX(REASON_BEHAVIOR,8),INDEX(REASON_SPECIAL_CARE,8),INDEX(REASON_FINANCIAL,8),INDEX(REASON_GUARDIANSHIP,8),INDEX(REASON_PASARR,8),INDEX(REASON_OTHER,8)),1,0)+IF(INDEX(REASON_PASARR,8)=MAX(INDEX(REASON_NO_BED,8),INDEX(REASON_BEHAVIOR,8),INDEX(REASON_SPECIAL_CARE,8),INDEX(REASON_FINANCIAL,8),INDEX(REASON_GUARDIANSHIP,8),INDEX(REASON_PASARR,8),INDEX(REASON_OTHER,8)),1,0)+IF(INDEX(REASON_OTHER,8)=MAX(INDEX(REASON_NO_BED,8),INDEX(REASON_BEHAVIOR,8),INDEX(REASON_SPECIAL_CARE,8),INDEX(REASON_FINANCIAL,8),INDEX(REASON_GUARDIANSHIP,8),INDEX(REASON_PASARR,8),INDEX(REASON_OTHER,8)),1,0))&gt;1,"Tie (none largest)",IF(INDEX(REASON_NO_BED,8)=MAX(INDEX(REASON_NO_BED,8),INDEX(REASON_BEHAVIOR,8),INDEX(REASON_SPECIAL_CARE,8),INDEX(REASON_FINANCIAL,8),INDEX(REASON_GUARDIANSHIP,8),INDEX(REASON_PASARR,8),INDEX(REASON_OTHER,8)),"No bed",IF(INDEX(REASON_BEHAVIOR,8)=MAX(INDEX(REASON_NO_BED,8),INDEX(REASON_BEHAVIOR,8),INDEX(REASON_SPECIAL_CARE,8),INDEX(REASON_FINANCIAL,8),INDEX(REASON_GUARDIANSHIP,8),INDEX(REASON_PASARR,8),INDEX(REASON_OTHER,8)),"Behavior",IF(INDEX(REASON_SPECIAL_CARE,8)=MAX(INDEX(REASON_NO_BED,8),INDEX(REASON_BEHAVIOR,8),INDEX(REASON_SPECIAL_CARE,8),INDEX(REASON_FINANCIAL,8),INDEX(REASON_GUARDIANSHIP,8),INDEX(REASON_PASARR,8),INDEX(REASON_OTHER,8)),"Special care",IF(INDEX(REASON_FINANCIAL,8)=MAX(INDEX(REASON_NO_BED,8),INDEX(REASON_BEHAVIOR,8),INDEX(REASON_SPECIAL_CARE,8),INDEX(REASON_FINANCIAL,8),INDEX(REASON_GUARDIANSHIP,8),INDEX(REASON_PASARR,8),INDEX(REASON_OTHER,8)),"Financial",IF(INDEX(REASON_GUARDIANSHIP,8)=MAX(INDEX(REASON_NO_BED,8),INDEX(REASON_BEHAVIOR,8),INDEX(REASON_SPECIAL_CARE,8),INDEX(REASON_FINANCIAL,8),INDEX(REASON_GUARDIANSHIP,8),INDEX(REASON_PASARR,8),INDEX(REASON_OTHER,8)),"Guardianship",IF(INDEX(REASON_PASARR,8)=MAX(INDEX(REASON_NO_BED,8),INDEX(REASON_BEHAVIOR,8),INDEX(REASON_SPECIAL_CARE,8),INDEX(REASON_FINANCIAL,8),INDEX(REASON_GUARDIANSHIP,8),INDEX(REASON_PASARR,8),INDEX(REASON_OTHER,8)),"PASARR",IF(INDEX(REASON_OTHER,8)=MAX(INDEX(REASON_NO_BED,8),INDEX(REASON_BEHAVIOR,8),INDEX(REASON_SPECIAL_CARE,8),INDEX(REASON_FINANCIAL,8),INDEX(REASON_GUARDIANSHIP,8),INDEX(REASON_PASARR,8),INDEX(REASON_OTHER,8)),"Other","?"))))))))</f>
        <v>Financial</v>
      </c>
      <c r="C26" s="3">
        <f>MAX(INDEX(REASON_NO_BED,8),INDEX(REASON_BEHAVIOR,8),INDEX(REASON_SPECIAL_CARE,8),INDEX(REASON_FINANCIAL,8),INDEX(REASON_GUARDIANSHIP,8),INDEX(REASON_PASARR,8),INDEX(REASON_OTHER,8))</f>
        <v>60</v>
      </c>
      <c r="D26" s="3">
        <f>IF(INDEX(REASON_NO_BED,8)=MAX(INDEX(REASON_NO_BED,8),INDEX(REASON_BEHAVIOR,8),INDEX(REASON_SPECIAL_CARE,8),INDEX(REASON_FINANCIAL,8),INDEX(REASON_GUARDIANSHIP,8),INDEX(REASON_PASARR,8),INDEX(REASON_OTHER,8)),1,0)+IF(INDEX(REASON_BEHAVIOR,8)=MAX(INDEX(REASON_NO_BED,8),INDEX(REASON_BEHAVIOR,8),INDEX(REASON_SPECIAL_CARE,8),INDEX(REASON_FINANCIAL,8),INDEX(REASON_GUARDIANSHIP,8),INDEX(REASON_PASARR,8),INDEX(REASON_OTHER,8)),1,0)+IF(INDEX(REASON_SPECIAL_CARE,8)=MAX(INDEX(REASON_NO_BED,8),INDEX(REASON_BEHAVIOR,8),INDEX(REASON_SPECIAL_CARE,8),INDEX(REASON_FINANCIAL,8),INDEX(REASON_GUARDIANSHIP,8),INDEX(REASON_PASARR,8),INDEX(REASON_OTHER,8)),1,0)+IF(INDEX(REASON_FINANCIAL,8)=MAX(INDEX(REASON_NO_BED,8),INDEX(REASON_BEHAVIOR,8),INDEX(REASON_SPECIAL_CARE,8),INDEX(REASON_FINANCIAL,8),INDEX(REASON_GUARDIANSHIP,8),INDEX(REASON_PASARR,8),INDEX(REASON_OTHER,8)),1,0)+IF(INDEX(REASON_GUARDIANSHIP,8)=MAX(INDEX(REASON_NO_BED,8),INDEX(REASON_BEHAVIOR,8),INDEX(REASON_SPECIAL_CARE,8),INDEX(REASON_FINANCIAL,8),INDEX(REASON_GUARDIANSHIP,8),INDEX(REASON_PASARR,8),INDEX(REASON_OTHER,8)),1,0)+IF(INDEX(REASON_PASARR,8)=MAX(INDEX(REASON_NO_BED,8),INDEX(REASON_BEHAVIOR,8),INDEX(REASON_SPECIAL_CARE,8),INDEX(REASON_FINANCIAL,8),INDEX(REASON_GUARDIANSHIP,8),INDEX(REASON_PASARR,8),INDEX(REASON_OTHER,8)),1,0)+IF(INDEX(REASON_OTHER,8)=MAX(INDEX(REASON_NO_BED,8),INDEX(REASON_BEHAVIOR,8),INDEX(REASON_SPECIAL_CARE,8),INDEX(REASON_FINANCIAL,8),INDEX(REASON_GUARDIANSHIP,8),INDEX(REASON_PASARR,8),INDEX(REASON_OTHER,8)),1,0)</f>
        <v>1</v>
      </c>
      <c r="E26" t="b">
        <f>INDEX(REASON_SUM,8)&lt;INDEX(DEC31_TOTAL,8)</f>
        <v>0</v>
      </c>
    </row>
    <row r="27" spans="1:5" x14ac:dyDescent="0.25">
      <c r="A27" s="2" t="s">
        <v>192</v>
      </c>
      <c r="B27" s="3">
        <f>COUNTIF(LARGEST_REASON,"No bed")</f>
        <v>5</v>
      </c>
      <c r="C27" s="14" t="s">
        <v>193</v>
      </c>
    </row>
    <row r="28" spans="1:5" x14ac:dyDescent="0.25">
      <c r="A28" s="2" t="s">
        <v>194</v>
      </c>
      <c r="B28" t="str">
        <f>IF(T3_YEARS&gt;8/2,"Met","Not met")</f>
        <v>Met</v>
      </c>
      <c r="C28" s="14" t="s">
        <v>195</v>
      </c>
    </row>
    <row r="29" spans="1:5" x14ac:dyDescent="0.25">
      <c r="A29" s="2" t="s">
        <v>196</v>
      </c>
      <c r="B29" t="b">
        <f>FLAG_2017_INCOMPLETE</f>
        <v>1</v>
      </c>
      <c r="C29" s="14" t="s">
        <v>197</v>
      </c>
    </row>
    <row r="31" spans="1:5" x14ac:dyDescent="0.25">
      <c r="A31" s="14" t="s">
        <v>198</v>
      </c>
    </row>
    <row r="33" spans="1:3" x14ac:dyDescent="0.25">
      <c r="A33" s="5" t="s">
        <v>199</v>
      </c>
      <c r="B33" s="5" t="s">
        <v>4</v>
      </c>
      <c r="C33" s="5" t="s">
        <v>167</v>
      </c>
    </row>
    <row r="34" spans="1:3" x14ac:dyDescent="0.25">
      <c r="A34" s="2" t="s">
        <v>200</v>
      </c>
      <c r="B34" s="22">
        <f>INDEX(REASON_FINANCIAL,MATCH(2021,YEAR,0))-INDEX(REASON_FINANCIAL,MATCH(2020,YEAR,0))</f>
        <v>13</v>
      </c>
      <c r="C34" s="14" t="s">
        <v>201</v>
      </c>
    </row>
    <row r="35" spans="1:3" x14ac:dyDescent="0.25">
      <c r="A35" s="2" t="s">
        <v>202</v>
      </c>
      <c r="B35" s="22">
        <f>(INDEX(REASON_SUM,MATCH(2021,YEAR,0))-INDEX(REASON_FINANCIAL,MATCH(2021,YEAR,0)))-(INDEX(REASON_SUM,MATCH(2020,YEAR,0))-INDEX(REASON_FINANCIAL,MATCH(2020,YEAR,0)))</f>
        <v>32</v>
      </c>
    </row>
    <row r="36" spans="1:3" x14ac:dyDescent="0.25">
      <c r="A36" s="2" t="s">
        <v>203</v>
      </c>
      <c r="B36" s="22">
        <f>INDEX(REASON_FINANCIAL,MATCH(2024,YEAR,0))-INDEX(REASON_FINANCIAL,MATCH(2023,YEAR,0))</f>
        <v>15</v>
      </c>
    </row>
    <row r="37" spans="1:3" x14ac:dyDescent="0.25">
      <c r="A37" s="2" t="s">
        <v>204</v>
      </c>
      <c r="B37" s="22">
        <f>(INDEX(REASON_SUM,MATCH(2024,YEAR,0))-INDEX(REASON_FINANCIAL,MATCH(2024,YEAR,0)))-(INDEX(REASON_SUM,MATCH(2023,YEAR,0))-INDEX(REASON_FINANCIAL,MATCH(2023,YEAR,0)))</f>
        <v>-33</v>
      </c>
    </row>
    <row r="39" spans="1:3" x14ac:dyDescent="0.25">
      <c r="A39" s="14" t="s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5" x14ac:dyDescent="0.25"/>
  <cols>
    <col min="1" max="5" width="16" customWidth="1"/>
  </cols>
  <sheetData>
    <row r="1" spans="1:5" ht="18.75" x14ac:dyDescent="0.3">
      <c r="A1" s="1" t="s">
        <v>206</v>
      </c>
    </row>
    <row r="3" spans="1:5" ht="32.1" customHeight="1" x14ac:dyDescent="0.25">
      <c r="A3" s="5" t="s">
        <v>207</v>
      </c>
      <c r="B3" s="5" t="s">
        <v>208</v>
      </c>
      <c r="C3" s="5" t="s">
        <v>209</v>
      </c>
      <c r="D3" s="5" t="s">
        <v>210</v>
      </c>
      <c r="E3" s="5" t="s">
        <v>211</v>
      </c>
    </row>
    <row r="4" spans="1:5" x14ac:dyDescent="0.25">
      <c r="A4" s="2" t="str">
        <f>INDEX(COUNTY,1)</f>
        <v>Hawaii</v>
      </c>
      <c r="B4" s="17">
        <f>INDEX(CTY_DAYS,1,1)/INDEX(CTY_PATIENTS,1,1)</f>
        <v>26.711162255466053</v>
      </c>
      <c r="C4" s="17">
        <f>INDEX(CTY_DAYS,1,2)/INDEX(CTY_PATIENTS,1,2)</f>
        <v>27.74965612104539</v>
      </c>
      <c r="D4" s="18">
        <f>INDEX(CTY_DAYS,1,1)/INDEX(WL_DAYS,MATCH(2023,YEAR,0))</f>
        <v>0.27933619745598515</v>
      </c>
      <c r="E4" s="18">
        <f>INDEX(CTY_DAYS,1,2)/INDEX(WL_DAYS,MATCH(2024,YEAR,0))</f>
        <v>0.33139496681779357</v>
      </c>
    </row>
    <row r="5" spans="1:5" x14ac:dyDescent="0.25">
      <c r="A5" s="2" t="str">
        <f>INDEX(COUNTY,2)</f>
        <v>Honolulu</v>
      </c>
      <c r="B5" s="17">
        <f>INDEX(CTY_DAYS,2,1)/INDEX(CTY_PATIENTS,2,1)</f>
        <v>17.883370288248337</v>
      </c>
      <c r="C5" s="17">
        <f>INDEX(CTY_DAYS,2,2)/INDEX(CTY_PATIENTS,2,2)</f>
        <v>13.835270338554826</v>
      </c>
      <c r="D5" s="18">
        <f>INDEX(CTY_DAYS,2,1)/INDEX(WL_DAYS,MATCH(2023,YEAR,0))</f>
        <v>0.48530031168393561</v>
      </c>
      <c r="E5" s="18">
        <f>INDEX(CTY_DAYS,2,2)/INDEX(WL_DAYS,MATCH(2024,YEAR,0))</f>
        <v>0.44976673894474012</v>
      </c>
    </row>
    <row r="6" spans="1:5" x14ac:dyDescent="0.25">
      <c r="A6" s="2" t="str">
        <f>INDEX(COUNTY,3)</f>
        <v>Kauai</v>
      </c>
      <c r="B6" s="17">
        <f>INDEX(CTY_DAYS,3,1)/INDEX(CTY_PATIENTS,3,1)</f>
        <v>20</v>
      </c>
      <c r="C6" s="17">
        <f>INDEX(CTY_DAYS,3,2)/INDEX(CTY_PATIENTS,3,2)</f>
        <v>30.109375</v>
      </c>
      <c r="D6" s="18">
        <f>INDEX(CTY_DAYS,3,1)/INDEX(WL_DAYS,MATCH(2023,YEAR,0))</f>
        <v>2.0698701517503641E-2</v>
      </c>
      <c r="E6" s="18">
        <f>INDEX(CTY_DAYS,3,2)/INDEX(WL_DAYS,MATCH(2024,YEAR,0))</f>
        <v>3.1654510808857346E-2</v>
      </c>
    </row>
    <row r="7" spans="1:5" x14ac:dyDescent="0.25">
      <c r="A7" s="2" t="str">
        <f>INDEX(COUNTY,4)</f>
        <v>Maui</v>
      </c>
      <c r="B7" s="17">
        <f>INDEX(CTY_DAYS,4,1)/INDEX(CTY_PATIENTS,4,1)</f>
        <v>44.594999999999999</v>
      </c>
      <c r="C7" s="17">
        <f>INDEX(CTY_DAYS,4,2)/INDEX(CTY_PATIENTS,4,2)</f>
        <v>32.28045325779037</v>
      </c>
      <c r="D7" s="18">
        <f>INDEX(CTY_DAYS,4,1)/INDEX(WL_DAYS,MATCH(2023,YEAR,0))</f>
        <v>0.21466478934257555</v>
      </c>
      <c r="E7" s="18">
        <f>INDEX(CTY_DAYS,4,2)/INDEX(WL_DAYS,MATCH(2024,YEAR,0))</f>
        <v>0.18718378342860897</v>
      </c>
    </row>
    <row r="8" spans="1:5" x14ac:dyDescent="0.25">
      <c r="A8" s="2" t="s">
        <v>212</v>
      </c>
      <c r="D8" s="18">
        <f>INDEX(CTY_DAY_SHARE,1,1)+INDEX(CTY_DAY_SHARE,2,1)+INDEX(CTY_DAY_SHARE,3,1)+INDEX(CTY_DAY_SHARE,4,1)</f>
        <v>1</v>
      </c>
      <c r="E8" s="18">
        <f>INDEX(CTY_DAY_SHARE,1,2)+INDEX(CTY_DAY_SHARE,2,2)+INDEX(CTY_DAY_SHARE,3,2)+INDEX(CTY_DAY_SHARE,4,2)</f>
        <v>1</v>
      </c>
    </row>
    <row r="10" spans="1:5" x14ac:dyDescent="0.25">
      <c r="A10" s="14" t="s">
        <v>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5" x14ac:dyDescent="0.25"/>
  <cols>
    <col min="1" max="1" width="44" customWidth="1"/>
    <col min="2" max="3" width="16" customWidth="1"/>
    <col min="4" max="4" width="22" customWidth="1"/>
  </cols>
  <sheetData>
    <row r="1" spans="1:4" ht="18.75" x14ac:dyDescent="0.3">
      <c r="A1" s="1" t="s">
        <v>214</v>
      </c>
    </row>
    <row r="3" spans="1:4" ht="45" customHeight="1" x14ac:dyDescent="0.25">
      <c r="A3" s="5" t="s">
        <v>41</v>
      </c>
      <c r="B3" s="5" t="s">
        <v>124</v>
      </c>
      <c r="C3" s="5" t="s">
        <v>134</v>
      </c>
      <c r="D3" s="5" t="s">
        <v>215</v>
      </c>
    </row>
    <row r="4" spans="1:4" x14ac:dyDescent="0.25">
      <c r="A4" s="13">
        <f>INDEX(YEAR,1)</f>
        <v>2017</v>
      </c>
      <c r="B4" s="17">
        <f>INDEX(EXCESS_BEDS,1)</f>
        <v>0</v>
      </c>
      <c r="C4" s="3">
        <f>INDEX(LTC_UNSTAFFED,1)</f>
        <v>128</v>
      </c>
      <c r="D4" s="23" t="str">
        <f>IF(INDEX(EXCESS_BEDS,1)=0,"",INDEX(LTC_UNSTAFFED,1)/INDEX(EXCESS_BEDS,1))</f>
        <v/>
      </c>
    </row>
    <row r="5" spans="1:4" x14ac:dyDescent="0.25">
      <c r="A5" s="13">
        <f>INDEX(YEAR,2)</f>
        <v>2018</v>
      </c>
      <c r="B5" s="17">
        <f>INDEX(EXCESS_BEDS,2)</f>
        <v>0</v>
      </c>
      <c r="C5" s="3">
        <f>INDEX(LTC_UNSTAFFED,2)</f>
        <v>160</v>
      </c>
      <c r="D5" s="23" t="str">
        <f>IF(INDEX(EXCESS_BEDS,2)=0,"",INDEX(LTC_UNSTAFFED,2)/INDEX(EXCESS_BEDS,2))</f>
        <v/>
      </c>
    </row>
    <row r="6" spans="1:4" x14ac:dyDescent="0.25">
      <c r="A6" s="13">
        <f>INDEX(YEAR,3)</f>
        <v>2019</v>
      </c>
      <c r="B6" s="17">
        <f>INDEX(EXCESS_BEDS,3)</f>
        <v>32.468493150684928</v>
      </c>
      <c r="C6" s="3">
        <f>INDEX(LTC_UNSTAFFED,3)</f>
        <v>248</v>
      </c>
      <c r="D6" s="23">
        <f>IF(INDEX(EXCESS_BEDS,3)=0,"",INDEX(LTC_UNSTAFFED,3)/INDEX(EXCESS_BEDS,3))</f>
        <v>7.6381739937558022</v>
      </c>
    </row>
    <row r="7" spans="1:4" x14ac:dyDescent="0.25">
      <c r="A7" s="13">
        <f>INDEX(YEAR,4)</f>
        <v>2020</v>
      </c>
      <c r="B7" s="17">
        <f>INDEX(EXCESS_BEDS,4)</f>
        <v>0</v>
      </c>
      <c r="C7" s="3">
        <f>INDEX(LTC_UNSTAFFED,4)</f>
        <v>462</v>
      </c>
      <c r="D7" s="23" t="str">
        <f>IF(INDEX(EXCESS_BEDS,4)=0,"",INDEX(LTC_UNSTAFFED,4)/INDEX(EXCESS_BEDS,4))</f>
        <v/>
      </c>
    </row>
    <row r="8" spans="1:4" x14ac:dyDescent="0.25">
      <c r="A8" s="13">
        <f>INDEX(YEAR,5)</f>
        <v>2021</v>
      </c>
      <c r="B8" s="17">
        <f>INDEX(EXCESS_BEDS,5)</f>
        <v>0</v>
      </c>
      <c r="C8" s="3">
        <f>INDEX(LTC_UNSTAFFED,5)</f>
        <v>614</v>
      </c>
      <c r="D8" s="23" t="str">
        <f>IF(INDEX(EXCESS_BEDS,5)=0,"",INDEX(LTC_UNSTAFFED,5)/INDEX(EXCESS_BEDS,5))</f>
        <v/>
      </c>
    </row>
    <row r="9" spans="1:4" x14ac:dyDescent="0.25">
      <c r="A9" s="13">
        <f>INDEX(YEAR,6)</f>
        <v>2022</v>
      </c>
      <c r="B9" s="17">
        <f>INDEX(EXCESS_BEDS,6)</f>
        <v>74.046575342465758</v>
      </c>
      <c r="C9" s="3">
        <f>INDEX(LTC_UNSTAFFED,6)</f>
        <v>661</v>
      </c>
      <c r="D9" s="23">
        <f>IF(INDEX(EXCESS_BEDS,6)=0,"",INDEX(LTC_UNSTAFFED,6)/INDEX(EXCESS_BEDS,6))</f>
        <v>8.9268139268139262</v>
      </c>
    </row>
    <row r="10" spans="1:4" x14ac:dyDescent="0.25">
      <c r="A10" s="13">
        <f>INDEX(YEAR,7)</f>
        <v>2023</v>
      </c>
      <c r="B10" s="17">
        <f>INDEX(EXCESS_BEDS,7)</f>
        <v>89.197260273972603</v>
      </c>
      <c r="C10" s="3">
        <f>INDEX(LTC_UNSTAFFED,7)</f>
        <v>510</v>
      </c>
      <c r="D10" s="23">
        <f>IF(INDEX(EXCESS_BEDS,7)=0,"",INDEX(LTC_UNSTAFFED,7)/INDEX(EXCESS_BEDS,7))</f>
        <v>5.717664403968425</v>
      </c>
    </row>
    <row r="11" spans="1:4" x14ac:dyDescent="0.25">
      <c r="A11" s="13">
        <f>INDEX(YEAR,8)</f>
        <v>2024</v>
      </c>
      <c r="B11" s="17">
        <f>INDEX(EXCESS_BEDS,8)</f>
        <v>46.868852459016395</v>
      </c>
      <c r="C11" s="3">
        <f>INDEX(LTC_UNSTAFFED,8)</f>
        <v>548</v>
      </c>
      <c r="D11" s="23">
        <f>IF(INDEX(EXCESS_BEDS,8)=0,"",INDEX(LTC_UNSTAFFED,8)/INDEX(EXCESS_BEDS,8))</f>
        <v>11.692200069954529</v>
      </c>
    </row>
    <row r="13" spans="1:4" x14ac:dyDescent="0.25">
      <c r="A13" s="2" t="s">
        <v>216</v>
      </c>
      <c r="C13" s="3">
        <f>LTC_UNSTAFFED_STAFF_2024</f>
        <v>353</v>
      </c>
    </row>
    <row r="14" spans="1:4" x14ac:dyDescent="0.25">
      <c r="A14" s="2" t="s">
        <v>217</v>
      </c>
      <c r="D14" s="23">
        <f>IF(INDEX(EXCESS_BEDS,MATCH(2024,YEAR,0))=0,"",LTC_UNSTAFFED_STAFF_2024/INDEX(EXCESS_BEDS,MATCH(2024,YEAR,0)))</f>
        <v>7.5316544246239943</v>
      </c>
    </row>
    <row r="16" spans="1:4" x14ac:dyDescent="0.25">
      <c r="A16" s="14" t="s">
        <v>218</v>
      </c>
    </row>
    <row r="17" spans="1:1" x14ac:dyDescent="0.25">
      <c r="A17" s="14" t="s">
        <v>219</v>
      </c>
    </row>
    <row r="18" spans="1:1" x14ac:dyDescent="0.25">
      <c r="A18" s="14" t="s">
        <v>220</v>
      </c>
    </row>
    <row r="19" spans="1:1" x14ac:dyDescent="0.25">
      <c r="A19" s="14" t="s">
        <v>221</v>
      </c>
    </row>
    <row r="20" spans="1:1" x14ac:dyDescent="0.25">
      <c r="A20" s="14" t="s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5" x14ac:dyDescent="0.25"/>
  <cols>
    <col min="1" max="1" width="80" customWidth="1"/>
    <col min="2" max="2" width="14" customWidth="1"/>
    <col min="3" max="3" width="20" customWidth="1"/>
    <col min="4" max="4" width="16" customWidth="1"/>
    <col min="5" max="5" width="22" customWidth="1"/>
  </cols>
  <sheetData>
    <row r="1" spans="1:5" ht="18.75" x14ac:dyDescent="0.3">
      <c r="A1" s="1" t="s">
        <v>223</v>
      </c>
    </row>
    <row r="3" spans="1:5" ht="45" customHeight="1" x14ac:dyDescent="0.25">
      <c r="A3" s="5" t="s">
        <v>108</v>
      </c>
      <c r="B3" s="5" t="s">
        <v>109</v>
      </c>
      <c r="C3" s="5" t="s">
        <v>224</v>
      </c>
      <c r="D3" s="5" t="s">
        <v>225</v>
      </c>
      <c r="E3" s="5" t="s">
        <v>226</v>
      </c>
    </row>
    <row r="4" spans="1:5" x14ac:dyDescent="0.25">
      <c r="A4" s="2" t="s">
        <v>227</v>
      </c>
      <c r="C4" s="20">
        <f>INDEX(NF_COST_MCD_HEAVY,MATCH(2023,COST_FY,0))</f>
        <v>461.79</v>
      </c>
    </row>
    <row r="5" spans="1:5" x14ac:dyDescent="0.25">
      <c r="A5" s="2" t="s">
        <v>228</v>
      </c>
      <c r="B5" s="18">
        <f>INDEX(MB_GROSS,1)</f>
        <v>0.03</v>
      </c>
      <c r="C5" s="20">
        <f>INDEX(NF_COST_MCD_HEAVY,MATCH(2023,COST_FY,0))*(1+INDEX(MB_GROSS,1))</f>
        <v>475.64370000000002</v>
      </c>
    </row>
    <row r="6" spans="1:5" x14ac:dyDescent="0.25">
      <c r="A6" s="2" t="s">
        <v>229</v>
      </c>
      <c r="B6" s="18">
        <f>INDEX(MB_GROSS,2)</f>
        <v>0.03</v>
      </c>
      <c r="C6" s="20">
        <f>INDEX(NF_COST_MCD_HEAVY,MATCH(2023,COST_FY,0))*(1+INDEX(MB_GROSS,1))*(1+INDEX(MB_GROSS,2))</f>
        <v>489.91301100000004</v>
      </c>
    </row>
    <row r="7" spans="1:5" x14ac:dyDescent="0.25">
      <c r="A7" s="2" t="s">
        <v>230</v>
      </c>
      <c r="B7" s="18">
        <f>INDEX(MB_GROSS,3)</f>
        <v>3.3000000000000002E-2</v>
      </c>
      <c r="C7" s="20">
        <f>INDEX(NF_COST_MCD_HEAVY,MATCH(2023,COST_FY,0))*(1+INDEX(MB_GROSS,1))*(1+INDEX(MB_GROSS,2))*(1+INDEX(MB_GROSS,3))</f>
        <v>506.080140363</v>
      </c>
      <c r="D7" s="20">
        <f>INDEX(NF_RATE_MEDIAN,MATCH(DATE(2026,1,1),RATE_DATE,0))</f>
        <v>495.26</v>
      </c>
      <c r="E7" s="24">
        <f>1-INDEX(RATE_FWD,1)/INDEX(COST_FWD,3)</f>
        <v>2.1380290392819967E-2</v>
      </c>
    </row>
    <row r="8" spans="1:5" x14ac:dyDescent="0.25">
      <c r="A8" s="2" t="s">
        <v>231</v>
      </c>
      <c r="B8" s="18">
        <f>INDEX(MB_GROSS,4)</f>
        <v>3.3000000000000002E-2</v>
      </c>
      <c r="C8" s="20">
        <f>INDEX(NF_COST_MCD_HEAVY,MATCH(2023,COST_FY,0))*(1+INDEX(MB_GROSS,1))*(1+INDEX(MB_GROSS,2))*(1+INDEX(MB_GROSS,3))*(1+INDEX(MB_GROSS,4))</f>
        <v>522.78078499497894</v>
      </c>
      <c r="D8" s="20">
        <f>INDEX(NF_RATE_MEDIAN,MATCH(DATE(2026,1,1),RATE_DATE,0))*(1+RATE_GROWTH_2024_2026)</f>
        <v>502.11472951213369</v>
      </c>
      <c r="E8" s="24">
        <f>1-INDEX(RATE_FWD,2)/INDEX(COST_FWD,4)</f>
        <v>3.9531015821562265E-2</v>
      </c>
    </row>
    <row r="10" spans="1:5" x14ac:dyDescent="0.25">
      <c r="A10" s="2" t="s">
        <v>232</v>
      </c>
      <c r="B10" s="24">
        <f>(INDEX(NF_RATE_MEDIAN,MATCH(DATE(2026,1,1),RATE_DATE,0))/INDEX(NF_RATE_MEDIAN,MATCH(DATE(2024,1,1),RATE_DATE,0)))^(1/2)-1</f>
        <v>1.3840668562237424E-2</v>
      </c>
      <c r="C10" s="14" t="s">
        <v>233</v>
      </c>
    </row>
    <row r="12" spans="1:5" x14ac:dyDescent="0.25">
      <c r="A12" s="14" t="s">
        <v>234</v>
      </c>
    </row>
    <row r="13" spans="1:5" x14ac:dyDescent="0.25">
      <c r="A13" s="14" t="s">
        <v>235</v>
      </c>
    </row>
    <row r="14" spans="1:5" x14ac:dyDescent="0.25">
      <c r="A14" s="14" t="s">
        <v>236</v>
      </c>
    </row>
    <row r="15" spans="1:5" x14ac:dyDescent="0.25">
      <c r="A15" s="14" t="s">
        <v>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6"/>
  <sheetViews>
    <sheetView workbookViewId="0"/>
  </sheetViews>
  <sheetFormatPr defaultRowHeight="15" x14ac:dyDescent="0.25"/>
  <cols>
    <col min="1" max="1" width="40" customWidth="1"/>
    <col min="2" max="4" width="17" customWidth="1"/>
    <col min="5" max="8" width="15" customWidth="1"/>
    <col min="9" max="9" width="38" customWidth="1"/>
  </cols>
  <sheetData>
    <row r="1" spans="1:5" ht="18.75" x14ac:dyDescent="0.3">
      <c r="A1" s="1" t="s">
        <v>238</v>
      </c>
    </row>
    <row r="3" spans="1:5" x14ac:dyDescent="0.25">
      <c r="A3" s="4" t="s">
        <v>239</v>
      </c>
    </row>
    <row r="4" spans="1:5" ht="32.1" customHeight="1" x14ac:dyDescent="0.25">
      <c r="A4" s="5" t="s">
        <v>41</v>
      </c>
      <c r="B4" s="5" t="s">
        <v>240</v>
      </c>
      <c r="C4" s="5" t="s">
        <v>116</v>
      </c>
      <c r="D4" s="5" t="s">
        <v>241</v>
      </c>
      <c r="E4" s="5" t="s">
        <v>169</v>
      </c>
    </row>
    <row r="5" spans="1:5" x14ac:dyDescent="0.25">
      <c r="A5" s="13">
        <f>INDEX(YEAR,1)</f>
        <v>2017</v>
      </c>
      <c r="B5" s="25">
        <f>DATE(INDEX(YEAR,1),7,1)</f>
        <v>42917</v>
      </c>
      <c r="C5" s="17">
        <f>INDEX(DAYS_PER_PT,1)</f>
        <v>9.935348310974625</v>
      </c>
      <c r="D5" s="3">
        <f t="shared" ref="D5:D12" si="0">BENCH_DAYS</f>
        <v>14</v>
      </c>
      <c r="E5" t="b">
        <f>INDEX(COVID_FLAG,1)</f>
        <v>0</v>
      </c>
    </row>
    <row r="6" spans="1:5" x14ac:dyDescent="0.25">
      <c r="A6" s="13">
        <f>INDEX(YEAR,2)</f>
        <v>2018</v>
      </c>
      <c r="B6" s="25">
        <f>DATE(INDEX(YEAR,2),7,1)</f>
        <v>43282</v>
      </c>
      <c r="C6" s="17">
        <f>INDEX(DAYS_PER_PT,2)</f>
        <v>12.484132980732905</v>
      </c>
      <c r="D6" s="3">
        <f t="shared" si="0"/>
        <v>14</v>
      </c>
      <c r="E6" t="b">
        <f>INDEX(COVID_FLAG,2)</f>
        <v>0</v>
      </c>
    </row>
    <row r="7" spans="1:5" x14ac:dyDescent="0.25">
      <c r="A7" s="13">
        <f>INDEX(YEAR,3)</f>
        <v>2019</v>
      </c>
      <c r="B7" s="25">
        <f>DATE(INDEX(YEAR,3),7,1)</f>
        <v>43647</v>
      </c>
      <c r="C7" s="17">
        <f>INDEX(DAYS_PER_PT,3)</f>
        <v>16.474112734864299</v>
      </c>
      <c r="D7" s="3">
        <f t="shared" si="0"/>
        <v>14</v>
      </c>
      <c r="E7" t="b">
        <f>INDEX(COVID_FLAG,3)</f>
        <v>0</v>
      </c>
    </row>
    <row r="8" spans="1:5" x14ac:dyDescent="0.25">
      <c r="A8" s="13">
        <f>INDEX(YEAR,4)</f>
        <v>2020</v>
      </c>
      <c r="B8" s="25">
        <f>DATE(INDEX(YEAR,4),7,1)</f>
        <v>44013</v>
      </c>
      <c r="C8" s="17">
        <f>INDEX(DAYS_PER_PT,4)</f>
        <v>12.584449813309906</v>
      </c>
      <c r="D8" s="3">
        <f t="shared" si="0"/>
        <v>14</v>
      </c>
      <c r="E8" t="b">
        <f>INDEX(COVID_FLAG,4)</f>
        <v>1</v>
      </c>
    </row>
    <row r="9" spans="1:5" x14ac:dyDescent="0.25">
      <c r="A9" s="13">
        <f>INDEX(YEAR,5)</f>
        <v>2021</v>
      </c>
      <c r="B9" s="25">
        <f>DATE(INDEX(YEAR,5),7,1)</f>
        <v>44378</v>
      </c>
      <c r="C9" s="17">
        <f>INDEX(DAYS_PER_PT,5)</f>
        <v>12.187943982139233</v>
      </c>
      <c r="D9" s="3">
        <f t="shared" si="0"/>
        <v>14</v>
      </c>
      <c r="E9" t="b">
        <f>INDEX(COVID_FLAG,5)</f>
        <v>1</v>
      </c>
    </row>
    <row r="10" spans="1:5" x14ac:dyDescent="0.25">
      <c r="A10" s="13">
        <f>INDEX(YEAR,6)</f>
        <v>2022</v>
      </c>
      <c r="B10" s="25">
        <f>DATE(INDEX(YEAR,6),7,1)</f>
        <v>44743</v>
      </c>
      <c r="C10" s="17">
        <f>INDEX(DAYS_PER_PT,6)</f>
        <v>21.342298288508559</v>
      </c>
      <c r="D10" s="3">
        <f t="shared" si="0"/>
        <v>14</v>
      </c>
      <c r="E10" t="b">
        <f>INDEX(COVID_FLAG,6)</f>
        <v>0</v>
      </c>
    </row>
    <row r="11" spans="1:5" x14ac:dyDescent="0.25">
      <c r="A11" s="13">
        <f>INDEX(YEAR,7)</f>
        <v>2023</v>
      </c>
      <c r="B11" s="25">
        <f>DATE(INDEX(YEAR,7),7,1)</f>
        <v>45108</v>
      </c>
      <c r="C11" s="17">
        <f>INDEX(DAYS_PER_PT,7)</f>
        <v>23.018559556786702</v>
      </c>
      <c r="D11" s="3">
        <f t="shared" si="0"/>
        <v>14</v>
      </c>
      <c r="E11" t="b">
        <f>INDEX(COVID_FLAG,7)</f>
        <v>0</v>
      </c>
    </row>
    <row r="12" spans="1:5" x14ac:dyDescent="0.25">
      <c r="A12" s="13">
        <f>INDEX(YEAR,8)</f>
        <v>2024</v>
      </c>
      <c r="B12" s="25">
        <f>DATE(INDEX(YEAR,8),7,1)</f>
        <v>45474</v>
      </c>
      <c r="C12" s="17">
        <f>INDEX(DAYS_PER_PT,8)</f>
        <v>19.492795389048993</v>
      </c>
      <c r="D12" s="3">
        <f t="shared" si="0"/>
        <v>14</v>
      </c>
      <c r="E12" t="b">
        <f>INDEX(COVID_FLAG,8)</f>
        <v>0</v>
      </c>
    </row>
    <row r="14" spans="1:5" x14ac:dyDescent="0.25">
      <c r="A14" s="4" t="s">
        <v>242</v>
      </c>
    </row>
    <row r="15" spans="1:5" x14ac:dyDescent="0.25">
      <c r="A15" s="5" t="s">
        <v>243</v>
      </c>
      <c r="B15" s="5" t="s">
        <v>244</v>
      </c>
    </row>
    <row r="16" spans="1:5" x14ac:dyDescent="0.25">
      <c r="A16" s="2" t="s">
        <v>245</v>
      </c>
      <c r="B16" s="25">
        <f>DATE_ADJ_2021</f>
        <v>44209</v>
      </c>
    </row>
    <row r="17" spans="1:9" x14ac:dyDescent="0.25">
      <c r="A17" s="2" t="s">
        <v>246</v>
      </c>
      <c r="B17" s="25">
        <f>DATE_RESET_2024</f>
        <v>45292</v>
      </c>
    </row>
    <row r="19" spans="1:9" x14ac:dyDescent="0.25">
      <c r="A19" s="4" t="s">
        <v>247</v>
      </c>
    </row>
    <row r="20" spans="1:9" x14ac:dyDescent="0.25">
      <c r="A20" s="5" t="s">
        <v>41</v>
      </c>
      <c r="B20" s="5" t="s">
        <v>248</v>
      </c>
      <c r="C20" s="5" t="s">
        <v>249</v>
      </c>
      <c r="D20" s="5" t="s">
        <v>250</v>
      </c>
      <c r="E20" s="5" t="s">
        <v>251</v>
      </c>
      <c r="F20" s="5" t="s">
        <v>252</v>
      </c>
      <c r="G20" s="5" t="s">
        <v>253</v>
      </c>
      <c r="H20" s="5" t="s">
        <v>254</v>
      </c>
      <c r="I20" s="5" t="s">
        <v>255</v>
      </c>
    </row>
    <row r="21" spans="1:9" x14ac:dyDescent="0.25">
      <c r="A21" s="13">
        <f>INDEX(YEAR,1)</f>
        <v>2017</v>
      </c>
      <c r="B21" s="18">
        <f>INDEX(SHARE_NO_BED,1)</f>
        <v>0.32500000000000001</v>
      </c>
      <c r="C21" s="18">
        <f>INDEX(SHARE_BEHAVIOR,1)</f>
        <v>0.13333333333333333</v>
      </c>
      <c r="D21" s="18">
        <f>INDEX(SHARE_SPECIAL_CARE,1)</f>
        <v>0.19166666666666668</v>
      </c>
      <c r="E21" s="18">
        <f>INDEX(SHARE_FINANCIAL,1)</f>
        <v>0.15</v>
      </c>
      <c r="F21" s="18">
        <f>INDEX(SHARE_GUARDIANSHIP,1)</f>
        <v>9.166666666666666E-2</v>
      </c>
      <c r="G21" s="18">
        <f>INDEX(SHARE_PASARR,1)</f>
        <v>1.6666666666666666E-2</v>
      </c>
      <c r="H21" s="18">
        <f>INDEX(SHARE_OTHER,1)</f>
        <v>9.166666666666666E-2</v>
      </c>
      <c r="I21" t="str">
        <f>IF(INDEX(REASON_SUM,1)&lt;INDEX(DEC31_TOTAL,1),"recorded reasons only ("&amp;INDEX(REASON_SUM,1)&amp;" of "&amp;INDEX(DEC31_TOTAL,1)&amp;")","")</f>
        <v>recorded reasons only (120 of 157)</v>
      </c>
    </row>
    <row r="22" spans="1:9" x14ac:dyDescent="0.25">
      <c r="A22" s="13">
        <f>INDEX(YEAR,2)</f>
        <v>2018</v>
      </c>
      <c r="B22" s="18">
        <f>INDEX(SHARE_NO_BED,2)</f>
        <v>0.33333333333333331</v>
      </c>
      <c r="C22" s="18">
        <f>INDEX(SHARE_BEHAVIOR,2)</f>
        <v>0.16959064327485379</v>
      </c>
      <c r="D22" s="18">
        <f>INDEX(SHARE_SPECIAL_CARE,2)</f>
        <v>9.9415204678362568E-2</v>
      </c>
      <c r="E22" s="18">
        <f>INDEX(SHARE_FINANCIAL,2)</f>
        <v>0.18128654970760233</v>
      </c>
      <c r="F22" s="18">
        <f>INDEX(SHARE_GUARDIANSHIP,2)</f>
        <v>0.10526315789473684</v>
      </c>
      <c r="G22" s="18">
        <f>INDEX(SHARE_PASARR,2)</f>
        <v>1.1695906432748537E-2</v>
      </c>
      <c r="H22" s="18">
        <f>INDEX(SHARE_OTHER,2)</f>
        <v>9.9415204678362568E-2</v>
      </c>
      <c r="I22" t="str">
        <f>IF(INDEX(REASON_SUM,2)&lt;INDEX(DEC31_TOTAL,2),"recorded reasons only ("&amp;INDEX(REASON_SUM,2)&amp;" of "&amp;INDEX(DEC31_TOTAL,2)&amp;")","")</f>
        <v/>
      </c>
    </row>
    <row r="23" spans="1:9" x14ac:dyDescent="0.25">
      <c r="A23" s="13">
        <f>INDEX(YEAR,3)</f>
        <v>2019</v>
      </c>
      <c r="B23" s="18">
        <f>INDEX(SHARE_NO_BED,3)</f>
        <v>0.39130434782608697</v>
      </c>
      <c r="C23" s="18">
        <f>INDEX(SHARE_BEHAVIOR,3)</f>
        <v>0.14673913043478262</v>
      </c>
      <c r="D23" s="18">
        <f>INDEX(SHARE_SPECIAL_CARE,3)</f>
        <v>0.11413043478260869</v>
      </c>
      <c r="E23" s="18">
        <f>INDEX(SHARE_FINANCIAL,3)</f>
        <v>0.17391304347826086</v>
      </c>
      <c r="F23" s="18">
        <f>INDEX(SHARE_GUARDIANSHIP,3)</f>
        <v>0.14130434782608695</v>
      </c>
      <c r="G23" s="18">
        <f>INDEX(SHARE_PASARR,3)</f>
        <v>0</v>
      </c>
      <c r="H23" s="18">
        <f>INDEX(SHARE_OTHER,3)</f>
        <v>3.2608695652173912E-2</v>
      </c>
      <c r="I23" t="str">
        <f>IF(INDEX(REASON_SUM,3)&lt;INDEX(DEC31_TOTAL,3),"recorded reasons only ("&amp;INDEX(REASON_SUM,3)&amp;" of "&amp;INDEX(DEC31_TOTAL,3)&amp;")","")</f>
        <v/>
      </c>
    </row>
    <row r="24" spans="1:9" x14ac:dyDescent="0.25">
      <c r="A24" s="13">
        <f>INDEX(YEAR,4)</f>
        <v>2020</v>
      </c>
      <c r="B24" s="18">
        <f>INDEX(SHARE_NO_BED,4)</f>
        <v>0.28472222222222221</v>
      </c>
      <c r="C24" s="18">
        <f>INDEX(SHARE_BEHAVIOR,4)</f>
        <v>0.16666666666666666</v>
      </c>
      <c r="D24" s="18">
        <f>INDEX(SHARE_SPECIAL_CARE,4)</f>
        <v>0.15277777777777779</v>
      </c>
      <c r="E24" s="18">
        <f>INDEX(SHARE_FINANCIAL,4)</f>
        <v>0.20833333333333334</v>
      </c>
      <c r="F24" s="18">
        <f>INDEX(SHARE_GUARDIANSHIP,4)</f>
        <v>0.10416666666666667</v>
      </c>
      <c r="G24" s="18">
        <f>INDEX(SHARE_PASARR,4)</f>
        <v>0</v>
      </c>
      <c r="H24" s="18">
        <f>INDEX(SHARE_OTHER,4)</f>
        <v>8.3333333333333329E-2</v>
      </c>
      <c r="I24" t="str">
        <f>IF(INDEX(REASON_SUM,4)&lt;INDEX(DEC31_TOTAL,4),"recorded reasons only ("&amp;INDEX(REASON_SUM,4)&amp;" of "&amp;INDEX(DEC31_TOTAL,4)&amp;")","")</f>
        <v/>
      </c>
    </row>
    <row r="25" spans="1:9" x14ac:dyDescent="0.25">
      <c r="A25" s="13">
        <f>INDEX(YEAR,5)</f>
        <v>2021</v>
      </c>
      <c r="B25" s="18">
        <f>INDEX(SHARE_NO_BED,5)</f>
        <v>0.26455026455026454</v>
      </c>
      <c r="C25" s="18">
        <f>INDEX(SHARE_BEHAVIOR,5)</f>
        <v>0.19047619047619047</v>
      </c>
      <c r="D25" s="18">
        <f>INDEX(SHARE_SPECIAL_CARE,5)</f>
        <v>0.1164021164021164</v>
      </c>
      <c r="E25" s="18">
        <f>INDEX(SHARE_FINANCIAL,5)</f>
        <v>0.2275132275132275</v>
      </c>
      <c r="F25" s="18">
        <f>INDEX(SHARE_GUARDIANSHIP,5)</f>
        <v>0.10582010582010581</v>
      </c>
      <c r="G25" s="18">
        <f>INDEX(SHARE_PASARR,5)</f>
        <v>0</v>
      </c>
      <c r="H25" s="18">
        <f>INDEX(SHARE_OTHER,5)</f>
        <v>9.5238095238095233E-2</v>
      </c>
      <c r="I25" t="str">
        <f>IF(INDEX(REASON_SUM,5)&lt;INDEX(DEC31_TOTAL,5),"recorded reasons only ("&amp;INDEX(REASON_SUM,5)&amp;" of "&amp;INDEX(DEC31_TOTAL,5)&amp;")","")</f>
        <v/>
      </c>
    </row>
    <row r="26" spans="1:9" x14ac:dyDescent="0.25">
      <c r="A26" s="13">
        <f>INDEX(YEAR,6)</f>
        <v>2022</v>
      </c>
      <c r="B26" s="18">
        <f>INDEX(SHARE_NO_BED,6)</f>
        <v>0.22800000000000001</v>
      </c>
      <c r="C26" s="18">
        <f>INDEX(SHARE_BEHAVIOR,6)</f>
        <v>0.14000000000000001</v>
      </c>
      <c r="D26" s="18">
        <f>INDEX(SHARE_SPECIAL_CARE,6)</f>
        <v>0.156</v>
      </c>
      <c r="E26" s="18">
        <f>INDEX(SHARE_FINANCIAL,6)</f>
        <v>0.3</v>
      </c>
      <c r="F26" s="18">
        <f>INDEX(SHARE_GUARDIANSHIP,6)</f>
        <v>0.11600000000000001</v>
      </c>
      <c r="G26" s="18">
        <f>INDEX(SHARE_PASARR,6)</f>
        <v>0.02</v>
      </c>
      <c r="H26" s="18">
        <f>INDEX(SHARE_OTHER,6)</f>
        <v>0.04</v>
      </c>
      <c r="I26" t="str">
        <f>IF(INDEX(REASON_SUM,6)&lt;INDEX(DEC31_TOTAL,6),"recorded reasons only ("&amp;INDEX(REASON_SUM,6)&amp;" of "&amp;INDEX(DEC31_TOTAL,6)&amp;")","")</f>
        <v/>
      </c>
    </row>
    <row r="27" spans="1:9" x14ac:dyDescent="0.25">
      <c r="A27" s="13">
        <f>INDEX(YEAR,7)</f>
        <v>2023</v>
      </c>
      <c r="B27" s="18">
        <f>INDEX(SHARE_NO_BED,7)</f>
        <v>0.21989528795811519</v>
      </c>
      <c r="C27" s="18">
        <f>INDEX(SHARE_BEHAVIOR,7)</f>
        <v>0.2513089005235602</v>
      </c>
      <c r="D27" s="18">
        <f>INDEX(SHARE_SPECIAL_CARE,7)</f>
        <v>0.13612565445026178</v>
      </c>
      <c r="E27" s="18">
        <f>INDEX(SHARE_FINANCIAL,7)</f>
        <v>0.2356020942408377</v>
      </c>
      <c r="F27" s="18">
        <f>INDEX(SHARE_GUARDIANSHIP,7)</f>
        <v>0.14659685863874344</v>
      </c>
      <c r="G27" s="18">
        <f>INDEX(SHARE_PASARR,7)</f>
        <v>5.235602094240838E-3</v>
      </c>
      <c r="H27" s="18">
        <f>INDEX(SHARE_OTHER,7)</f>
        <v>5.235602094240838E-3</v>
      </c>
      <c r="I27" t="str">
        <f>IF(INDEX(REASON_SUM,7)&lt;INDEX(DEC31_TOTAL,7),"recorded reasons only ("&amp;INDEX(REASON_SUM,7)&amp;" of "&amp;INDEX(DEC31_TOTAL,7)&amp;")","")</f>
        <v/>
      </c>
    </row>
    <row r="28" spans="1:9" x14ac:dyDescent="0.25">
      <c r="A28" s="13">
        <f>INDEX(YEAR,8)</f>
        <v>2024</v>
      </c>
      <c r="B28" s="18">
        <f>INDEX(SHARE_NO_BED,8)</f>
        <v>0.1791907514450867</v>
      </c>
      <c r="C28" s="18">
        <f>INDEX(SHARE_BEHAVIOR,8)</f>
        <v>0.16763005780346821</v>
      </c>
      <c r="D28" s="18">
        <f>INDEX(SHARE_SPECIAL_CARE,8)</f>
        <v>0.10404624277456648</v>
      </c>
      <c r="E28" s="18">
        <f>INDEX(SHARE_FINANCIAL,8)</f>
        <v>0.34682080924855491</v>
      </c>
      <c r="F28" s="18">
        <f>INDEX(SHARE_GUARDIANSHIP,8)</f>
        <v>0.1791907514450867</v>
      </c>
      <c r="G28" s="18">
        <f>INDEX(SHARE_PASARR,8)</f>
        <v>0</v>
      </c>
      <c r="H28" s="18">
        <f>INDEX(SHARE_OTHER,8)</f>
        <v>2.3121387283236993E-2</v>
      </c>
      <c r="I28" t="str">
        <f>IF(INDEX(REASON_SUM,8)&lt;INDEX(DEC31_TOTAL,8),"recorded reasons only ("&amp;INDEX(REASON_SUM,8)&amp;" of "&amp;INDEX(DEC31_TOTAL,8)&amp;")","")</f>
        <v/>
      </c>
    </row>
    <row r="30" spans="1:9" x14ac:dyDescent="0.25">
      <c r="A30" s="4" t="s">
        <v>256</v>
      </c>
    </row>
    <row r="31" spans="1:9" x14ac:dyDescent="0.25">
      <c r="A31" s="5" t="s">
        <v>257</v>
      </c>
      <c r="B31" s="5" t="s">
        <v>258</v>
      </c>
      <c r="C31" s="5" t="s">
        <v>259</v>
      </c>
    </row>
    <row r="32" spans="1:9" x14ac:dyDescent="0.25">
      <c r="A32" s="2" t="s">
        <v>260</v>
      </c>
      <c r="B32" s="26">
        <f>YEAR(DATE_ADJ_2021)-1</f>
        <v>2020</v>
      </c>
      <c r="C32" s="26">
        <f>YEAR(DATE_ADJ_2021)</f>
        <v>2021</v>
      </c>
    </row>
    <row r="33" spans="1:3" x14ac:dyDescent="0.25">
      <c r="A33" s="2" t="s">
        <v>261</v>
      </c>
      <c r="B33" s="26">
        <f>YEAR(DATE_RESET_2024)-1</f>
        <v>2023</v>
      </c>
      <c r="C33" s="26">
        <f>YEAR(DATE_RESET_2024)</f>
        <v>2024</v>
      </c>
    </row>
    <row r="35" spans="1:3" x14ac:dyDescent="0.25">
      <c r="A35" s="4" t="s">
        <v>262</v>
      </c>
    </row>
    <row r="36" spans="1:3" ht="32.1" customHeight="1" x14ac:dyDescent="0.25">
      <c r="A36" s="5" t="s">
        <v>263</v>
      </c>
      <c r="B36" s="5" t="s">
        <v>264</v>
      </c>
      <c r="C36" s="5" t="s">
        <v>265</v>
      </c>
    </row>
    <row r="37" spans="1:3" x14ac:dyDescent="0.25">
      <c r="A37" s="15">
        <f>DATE(2016,1,1)</f>
        <v>42370</v>
      </c>
      <c r="B37" s="20">
        <f t="shared" ref="B37:B57" si="1">IF(ISNA(MATCH(A37,RATE_DATE,0)),"",IF(INDEX(NF_RATE_MEDIAN,MATCH(A37,RATE_DATE,0))="","",INDEX(NF_RATE_MEDIAN,MATCH(A37,RATE_DATE,0))))</f>
        <v>246.97</v>
      </c>
      <c r="C37" t="str">
        <f t="shared" ref="C37:C57" si="2">IF(ISNA(MATCH(A37,RATE_DATE,0)),"missing memo",IF(INDEX(NF_RATE_MEDIAN,MATCH(A37,RATE_DATE,0))="","no median",""))</f>
        <v/>
      </c>
    </row>
    <row r="38" spans="1:3" x14ac:dyDescent="0.25">
      <c r="A38" s="15">
        <f>DATE(2016,7,1)</f>
        <v>42552</v>
      </c>
      <c r="B38" s="20">
        <f t="shared" si="1"/>
        <v>252.4</v>
      </c>
      <c r="C38" t="str">
        <f t="shared" si="2"/>
        <v/>
      </c>
    </row>
    <row r="39" spans="1:3" x14ac:dyDescent="0.25">
      <c r="A39" s="15">
        <f>DATE(2017,1,1)</f>
        <v>42736</v>
      </c>
      <c r="B39" s="20">
        <f t="shared" si="1"/>
        <v>251.93</v>
      </c>
      <c r="C39" t="str">
        <f t="shared" si="2"/>
        <v/>
      </c>
    </row>
    <row r="40" spans="1:3" x14ac:dyDescent="0.25">
      <c r="A40" s="15">
        <f>DATE(2017,7,1)</f>
        <v>42917</v>
      </c>
      <c r="B40" s="20">
        <f t="shared" si="1"/>
        <v>261.45</v>
      </c>
      <c r="C40" t="str">
        <f t="shared" si="2"/>
        <v/>
      </c>
    </row>
    <row r="41" spans="1:3" x14ac:dyDescent="0.25">
      <c r="A41" s="15">
        <f>DATE(2018,1,1)</f>
        <v>43101</v>
      </c>
      <c r="B41" s="20" t="str">
        <f t="shared" si="1"/>
        <v/>
      </c>
      <c r="C41" t="str">
        <f t="shared" si="2"/>
        <v>missing memo</v>
      </c>
    </row>
    <row r="42" spans="1:3" x14ac:dyDescent="0.25">
      <c r="A42" s="15">
        <f>DATE(2018,7,1)</f>
        <v>43282</v>
      </c>
      <c r="B42" s="20">
        <f t="shared" si="1"/>
        <v>270.66000000000003</v>
      </c>
      <c r="C42" t="str">
        <f t="shared" si="2"/>
        <v/>
      </c>
    </row>
    <row r="43" spans="1:3" x14ac:dyDescent="0.25">
      <c r="A43" s="15">
        <f>DATE(2019,1,1)</f>
        <v>43466</v>
      </c>
      <c r="B43" s="20">
        <f t="shared" si="1"/>
        <v>270.14999999999998</v>
      </c>
      <c r="C43" t="str">
        <f t="shared" si="2"/>
        <v/>
      </c>
    </row>
    <row r="44" spans="1:3" x14ac:dyDescent="0.25">
      <c r="A44" s="15">
        <f>DATE(2019,7,1)</f>
        <v>43647</v>
      </c>
      <c r="B44" s="20" t="str">
        <f t="shared" si="1"/>
        <v/>
      </c>
      <c r="C44" t="str">
        <f t="shared" si="2"/>
        <v>no median</v>
      </c>
    </row>
    <row r="45" spans="1:3" x14ac:dyDescent="0.25">
      <c r="A45" s="15">
        <f>DATE(2020,1,1)</f>
        <v>43831</v>
      </c>
      <c r="B45" s="20" t="str">
        <f t="shared" si="1"/>
        <v/>
      </c>
      <c r="C45" t="str">
        <f t="shared" si="2"/>
        <v>missing memo</v>
      </c>
    </row>
    <row r="46" spans="1:3" x14ac:dyDescent="0.25">
      <c r="A46" s="15">
        <f>DATE(2020,7,1)</f>
        <v>44013</v>
      </c>
      <c r="B46" s="20">
        <f t="shared" si="1"/>
        <v>282.98</v>
      </c>
      <c r="C46" t="str">
        <f t="shared" si="2"/>
        <v/>
      </c>
    </row>
    <row r="47" spans="1:3" x14ac:dyDescent="0.25">
      <c r="A47" s="15">
        <f>DATE(2021,1,1)</f>
        <v>44197</v>
      </c>
      <c r="B47" s="20" t="str">
        <f t="shared" si="1"/>
        <v/>
      </c>
      <c r="C47" t="str">
        <f t="shared" si="2"/>
        <v>missing memo</v>
      </c>
    </row>
    <row r="48" spans="1:3" x14ac:dyDescent="0.25">
      <c r="A48" s="15">
        <f>DATE(2021,7,1)</f>
        <v>44378</v>
      </c>
      <c r="B48" s="20">
        <f t="shared" si="1"/>
        <v>334.75</v>
      </c>
      <c r="C48" t="str">
        <f t="shared" si="2"/>
        <v/>
      </c>
    </row>
    <row r="49" spans="1:4" x14ac:dyDescent="0.25">
      <c r="A49" s="15">
        <f>DATE(2022,1,1)</f>
        <v>44562</v>
      </c>
      <c r="B49" s="20">
        <f t="shared" si="1"/>
        <v>332.59</v>
      </c>
      <c r="C49" t="str">
        <f t="shared" si="2"/>
        <v/>
      </c>
    </row>
    <row r="50" spans="1:4" x14ac:dyDescent="0.25">
      <c r="A50" s="15">
        <f>DATE(2022,7,1)</f>
        <v>44743</v>
      </c>
      <c r="B50" s="20" t="str">
        <f t="shared" si="1"/>
        <v/>
      </c>
      <c r="C50" t="str">
        <f t="shared" si="2"/>
        <v>missing memo</v>
      </c>
    </row>
    <row r="51" spans="1:4" x14ac:dyDescent="0.25">
      <c r="A51" s="15">
        <f>DATE(2023,1,1)</f>
        <v>44927</v>
      </c>
      <c r="B51" s="20">
        <f t="shared" si="1"/>
        <v>355.11</v>
      </c>
      <c r="C51" t="str">
        <f t="shared" si="2"/>
        <v/>
      </c>
    </row>
    <row r="52" spans="1:4" x14ac:dyDescent="0.25">
      <c r="A52" s="15">
        <f>DATE(2023,7,1)</f>
        <v>45108</v>
      </c>
      <c r="B52" s="20">
        <f t="shared" si="1"/>
        <v>371.99</v>
      </c>
      <c r="C52" t="str">
        <f t="shared" si="2"/>
        <v/>
      </c>
    </row>
    <row r="53" spans="1:4" x14ac:dyDescent="0.25">
      <c r="A53" s="15">
        <f>DATE(2024,1,1)</f>
        <v>45292</v>
      </c>
      <c r="B53" s="20">
        <f t="shared" si="1"/>
        <v>481.83</v>
      </c>
      <c r="C53" t="str">
        <f t="shared" si="2"/>
        <v/>
      </c>
    </row>
    <row r="54" spans="1:4" x14ac:dyDescent="0.25">
      <c r="A54" s="15">
        <f>DATE(2024,7,1)</f>
        <v>45474</v>
      </c>
      <c r="B54" s="20">
        <f t="shared" si="1"/>
        <v>482.2</v>
      </c>
      <c r="C54" t="str">
        <f t="shared" si="2"/>
        <v/>
      </c>
    </row>
    <row r="55" spans="1:4" x14ac:dyDescent="0.25">
      <c r="A55" s="15">
        <f>DATE(2025,1,1)</f>
        <v>45658</v>
      </c>
      <c r="B55" s="20">
        <f t="shared" si="1"/>
        <v>509.69</v>
      </c>
      <c r="C55" t="str">
        <f t="shared" si="2"/>
        <v/>
      </c>
    </row>
    <row r="56" spans="1:4" x14ac:dyDescent="0.25">
      <c r="A56" s="15">
        <f>DATE(2025,7,1)</f>
        <v>45839</v>
      </c>
      <c r="B56" s="20">
        <f t="shared" si="1"/>
        <v>506.65</v>
      </c>
      <c r="C56" t="str">
        <f t="shared" si="2"/>
        <v/>
      </c>
    </row>
    <row r="57" spans="1:4" x14ac:dyDescent="0.25">
      <c r="A57" s="15">
        <f>DATE(2026,1,1)</f>
        <v>46023</v>
      </c>
      <c r="B57" s="20">
        <f t="shared" si="1"/>
        <v>495.26</v>
      </c>
      <c r="C57" t="str">
        <f t="shared" si="2"/>
        <v/>
      </c>
    </row>
    <row r="59" spans="1:4" x14ac:dyDescent="0.25">
      <c r="A59" s="4" t="s">
        <v>266</v>
      </c>
    </row>
    <row r="60" spans="1:4" ht="32.1" customHeight="1" x14ac:dyDescent="0.25">
      <c r="A60" s="5" t="s">
        <v>108</v>
      </c>
      <c r="B60" s="5" t="s">
        <v>240</v>
      </c>
      <c r="C60" s="5" t="s">
        <v>267</v>
      </c>
      <c r="D60" s="5" t="s">
        <v>268</v>
      </c>
    </row>
    <row r="61" spans="1:4" x14ac:dyDescent="0.25">
      <c r="A61" s="13">
        <f>INDEX(COST_FY,1)</f>
        <v>2011</v>
      </c>
      <c r="B61" s="25">
        <f>DATE(INDEX(COST_FY,1),7,1)</f>
        <v>40725</v>
      </c>
      <c r="C61" s="20">
        <f>INDEX(NF_COST_MCD_HEAVY,1)</f>
        <v>287.76</v>
      </c>
      <c r="D61" s="20">
        <f>INDEX(NF_COST_ALL,1)</f>
        <v>295.13</v>
      </c>
    </row>
    <row r="62" spans="1:4" x14ac:dyDescent="0.25">
      <c r="A62" s="13">
        <f>INDEX(COST_FY,2)</f>
        <v>2012</v>
      </c>
      <c r="B62" s="25">
        <f>DATE(INDEX(COST_FY,2),7,1)</f>
        <v>41091</v>
      </c>
      <c r="C62" s="20">
        <f>INDEX(NF_COST_MCD_HEAVY,2)</f>
        <v>311.89</v>
      </c>
      <c r="D62" s="20">
        <f>INDEX(NF_COST_ALL,2)</f>
        <v>314.68</v>
      </c>
    </row>
    <row r="63" spans="1:4" x14ac:dyDescent="0.25">
      <c r="A63" s="13">
        <f>INDEX(COST_FY,3)</f>
        <v>2013</v>
      </c>
      <c r="B63" s="25">
        <f>DATE(INDEX(COST_FY,3),7,1)</f>
        <v>41456</v>
      </c>
      <c r="C63" s="20">
        <f>INDEX(NF_COST_MCD_HEAVY,3)</f>
        <v>322.2</v>
      </c>
      <c r="D63" s="20">
        <f>INDEX(NF_COST_ALL,3)</f>
        <v>342.42</v>
      </c>
    </row>
    <row r="64" spans="1:4" x14ac:dyDescent="0.25">
      <c r="A64" s="13">
        <f>INDEX(COST_FY,4)</f>
        <v>2014</v>
      </c>
      <c r="B64" s="25">
        <f>DATE(INDEX(COST_FY,4),7,1)</f>
        <v>41821</v>
      </c>
      <c r="C64" s="20">
        <f>INDEX(NF_COST_MCD_HEAVY,4)</f>
        <v>322.2</v>
      </c>
      <c r="D64" s="20">
        <f>INDEX(NF_COST_ALL,4)</f>
        <v>344.19</v>
      </c>
    </row>
    <row r="65" spans="1:4" x14ac:dyDescent="0.25">
      <c r="A65" s="13">
        <f>INDEX(COST_FY,5)</f>
        <v>2015</v>
      </c>
      <c r="B65" s="25">
        <f>DATE(INDEX(COST_FY,5),7,1)</f>
        <v>42186</v>
      </c>
      <c r="C65" s="20">
        <f>INDEX(NF_COST_MCD_HEAVY,5)</f>
        <v>322.10000000000002</v>
      </c>
      <c r="D65" s="20">
        <f>INDEX(NF_COST_ALL,5)</f>
        <v>340.9</v>
      </c>
    </row>
    <row r="66" spans="1:4" x14ac:dyDescent="0.25">
      <c r="A66" s="13">
        <f>INDEX(COST_FY,6)</f>
        <v>2016</v>
      </c>
      <c r="B66" s="25">
        <f>DATE(INDEX(COST_FY,6),7,1)</f>
        <v>42552</v>
      </c>
      <c r="C66" s="20">
        <f>INDEX(NF_COST_MCD_HEAVY,6)</f>
        <v>344.38</v>
      </c>
      <c r="D66" s="20">
        <f>INDEX(NF_COST_ALL,6)</f>
        <v>358.8</v>
      </c>
    </row>
    <row r="67" spans="1:4" x14ac:dyDescent="0.25">
      <c r="A67" s="13">
        <f>INDEX(COST_FY,7)</f>
        <v>2017</v>
      </c>
      <c r="B67" s="25">
        <f>DATE(INDEX(COST_FY,7),7,1)</f>
        <v>42917</v>
      </c>
      <c r="C67" s="20">
        <f>INDEX(NF_COST_MCD_HEAVY,7)</f>
        <v>356.1</v>
      </c>
      <c r="D67" s="20">
        <f>INDEX(NF_COST_ALL,7)</f>
        <v>376.01</v>
      </c>
    </row>
    <row r="68" spans="1:4" x14ac:dyDescent="0.25">
      <c r="A68" s="13">
        <f>INDEX(COST_FY,8)</f>
        <v>2018</v>
      </c>
      <c r="B68" s="25">
        <f>DATE(INDEX(COST_FY,8),7,1)</f>
        <v>43282</v>
      </c>
      <c r="C68" s="20">
        <f>INDEX(NF_COST_MCD_HEAVY,8)</f>
        <v>365.93</v>
      </c>
      <c r="D68" s="20">
        <f>INDEX(NF_COST_ALL,8)</f>
        <v>380.99</v>
      </c>
    </row>
    <row r="69" spans="1:4" x14ac:dyDescent="0.25">
      <c r="A69" s="13">
        <f>INDEX(COST_FY,9)</f>
        <v>2019</v>
      </c>
      <c r="B69" s="25">
        <f>DATE(INDEX(COST_FY,9),7,1)</f>
        <v>43647</v>
      </c>
      <c r="C69" s="20">
        <f>INDEX(NF_COST_MCD_HEAVY,9)</f>
        <v>373.25</v>
      </c>
      <c r="D69" s="20">
        <f>INDEX(NF_COST_ALL,9)</f>
        <v>379.87</v>
      </c>
    </row>
    <row r="70" spans="1:4" x14ac:dyDescent="0.25">
      <c r="A70" s="13">
        <f>INDEX(COST_FY,10)</f>
        <v>2020</v>
      </c>
      <c r="B70" s="25">
        <f>DATE(INDEX(COST_FY,10),7,1)</f>
        <v>44013</v>
      </c>
      <c r="C70" s="20">
        <f>INDEX(NF_COST_MCD_HEAVY,10)</f>
        <v>398.33</v>
      </c>
      <c r="D70" s="20">
        <f>INDEX(NF_COST_ALL,10)</f>
        <v>428.4</v>
      </c>
    </row>
    <row r="71" spans="1:4" x14ac:dyDescent="0.25">
      <c r="A71" s="13">
        <f>INDEX(COST_FY,11)</f>
        <v>2021</v>
      </c>
      <c r="B71" s="25">
        <f>DATE(INDEX(COST_FY,11),7,1)</f>
        <v>44378</v>
      </c>
      <c r="C71" s="20">
        <f>INDEX(NF_COST_MCD_HEAVY,11)</f>
        <v>423.44</v>
      </c>
      <c r="D71" s="20">
        <f>INDEX(NF_COST_ALL,11)</f>
        <v>450.4</v>
      </c>
    </row>
    <row r="72" spans="1:4" x14ac:dyDescent="0.25">
      <c r="A72" s="13">
        <f>INDEX(COST_FY,12)</f>
        <v>2022</v>
      </c>
      <c r="B72" s="25">
        <f>DATE(INDEX(COST_FY,12),7,1)</f>
        <v>44743</v>
      </c>
      <c r="C72" s="20">
        <f>INDEX(NF_COST_MCD_HEAVY,12)</f>
        <v>435.63</v>
      </c>
      <c r="D72" s="20">
        <f>INDEX(NF_COST_ALL,12)</f>
        <v>459.47</v>
      </c>
    </row>
    <row r="73" spans="1:4" x14ac:dyDescent="0.25">
      <c r="A73" s="13">
        <f>INDEX(COST_FY,13)</f>
        <v>2023</v>
      </c>
      <c r="B73" s="25">
        <f>DATE(INDEX(COST_FY,13),7,1)</f>
        <v>45108</v>
      </c>
      <c r="C73" s="20">
        <f>INDEX(NF_COST_MCD_HEAVY,13)</f>
        <v>461.79</v>
      </c>
      <c r="D73" s="20">
        <f>INDEX(NF_COST_ALL,13)</f>
        <v>519.16</v>
      </c>
    </row>
    <row r="75" spans="1:4" x14ac:dyDescent="0.25">
      <c r="A75" s="4" t="s">
        <v>269</v>
      </c>
    </row>
    <row r="76" spans="1:4" ht="32.1" customHeight="1" x14ac:dyDescent="0.25">
      <c r="A76" s="5" t="s">
        <v>41</v>
      </c>
      <c r="B76" s="5" t="s">
        <v>270</v>
      </c>
      <c r="C76" s="5" t="s">
        <v>271</v>
      </c>
      <c r="D76" s="5" t="s">
        <v>272</v>
      </c>
    </row>
    <row r="77" spans="1:4" x14ac:dyDescent="0.25">
      <c r="A77" s="13">
        <f>INDEX(YEAR,1)</f>
        <v>2017</v>
      </c>
      <c r="B77" s="3">
        <f>INDEX(WITHIN_DAYS,1)</f>
        <v>61470</v>
      </c>
      <c r="C77" s="3">
        <f>INDEX(EXCESS_DAYS,1)</f>
        <v>0</v>
      </c>
      <c r="D77" s="3">
        <f>INDEX(WL_DAYS,1)</f>
        <v>61470</v>
      </c>
    </row>
    <row r="78" spans="1:4" x14ac:dyDescent="0.25">
      <c r="A78" s="13">
        <f>INDEX(YEAR,2)</f>
        <v>2018</v>
      </c>
      <c r="B78" s="3">
        <f>INDEX(WITHIN_DAYS,2)</f>
        <v>66091</v>
      </c>
      <c r="C78" s="3">
        <f>INDEX(EXCESS_DAYS,2)</f>
        <v>0</v>
      </c>
      <c r="D78" s="3">
        <f>INDEX(WL_DAYS,2)</f>
        <v>66091</v>
      </c>
    </row>
    <row r="79" spans="1:4" x14ac:dyDescent="0.25">
      <c r="A79" s="13">
        <f>INDEX(YEAR,3)</f>
        <v>2019</v>
      </c>
      <c r="B79" s="3">
        <f>INDEX(WITHIN_DAYS,3)</f>
        <v>67060</v>
      </c>
      <c r="C79" s="3">
        <f>INDEX(EXCESS_DAYS,3)</f>
        <v>11851</v>
      </c>
      <c r="D79" s="3">
        <f>INDEX(WL_DAYS,3)</f>
        <v>78911</v>
      </c>
    </row>
    <row r="80" spans="1:4" x14ac:dyDescent="0.25">
      <c r="A80" s="13">
        <f>INDEX(YEAR,4)</f>
        <v>2020</v>
      </c>
      <c r="B80" s="3">
        <f>INDEX(WITHIN_DAYS,4)</f>
        <v>57297</v>
      </c>
      <c r="C80" s="3">
        <f>INDEX(EXCESS_DAYS,4)</f>
        <v>0</v>
      </c>
      <c r="D80" s="3">
        <f>INDEX(WL_DAYS,4)</f>
        <v>57297</v>
      </c>
    </row>
    <row r="81" spans="1:4" x14ac:dyDescent="0.25">
      <c r="A81" s="13">
        <f>INDEX(YEAR,5)</f>
        <v>2021</v>
      </c>
      <c r="B81" s="3">
        <f>INDEX(WITHIN_DAYS,5)</f>
        <v>60050</v>
      </c>
      <c r="C81" s="3">
        <f>INDEX(EXCESS_DAYS,5)</f>
        <v>0</v>
      </c>
      <c r="D81" s="3">
        <f>INDEX(WL_DAYS,5)</f>
        <v>60050</v>
      </c>
    </row>
    <row r="82" spans="1:4" x14ac:dyDescent="0.25">
      <c r="A82" s="13">
        <f>INDEX(YEAR,6)</f>
        <v>2022</v>
      </c>
      <c r="B82" s="3">
        <f>INDEX(WITHIN_DAYS,6)</f>
        <v>51534</v>
      </c>
      <c r="C82" s="3">
        <f>INDEX(EXCESS_DAYS,6)</f>
        <v>27027</v>
      </c>
      <c r="D82" s="3">
        <f>INDEX(WL_DAYS,6)</f>
        <v>78561</v>
      </c>
    </row>
    <row r="83" spans="1:4" x14ac:dyDescent="0.25">
      <c r="A83" s="13">
        <f>INDEX(YEAR,7)</f>
        <v>2023</v>
      </c>
      <c r="B83" s="3">
        <f>INDEX(WITHIN_DAYS,7)</f>
        <v>50540</v>
      </c>
      <c r="C83" s="3">
        <f>INDEX(EXCESS_DAYS,7)</f>
        <v>32557</v>
      </c>
      <c r="D83" s="3">
        <f>INDEX(WL_DAYS,7)</f>
        <v>83097</v>
      </c>
    </row>
    <row r="84" spans="1:4" x14ac:dyDescent="0.25">
      <c r="A84" s="13">
        <f>INDEX(YEAR,8)</f>
        <v>2024</v>
      </c>
      <c r="B84" s="3">
        <f>INDEX(WITHIN_DAYS,8)</f>
        <v>43722</v>
      </c>
      <c r="C84" s="3">
        <f>INDEX(EXCESS_DAYS,8)</f>
        <v>17154</v>
      </c>
      <c r="D84" s="3">
        <f>INDEX(WL_DAYS,8)</f>
        <v>60876</v>
      </c>
    </row>
    <row r="86" spans="1:4" x14ac:dyDescent="0.25">
      <c r="A86" s="14" t="s">
        <v>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0"/>
  <sheetViews>
    <sheetView workbookViewId="0"/>
  </sheetViews>
  <sheetFormatPr defaultRowHeight="15" x14ac:dyDescent="0.25"/>
  <cols>
    <col min="1" max="1" width="34" customWidth="1"/>
    <col min="2" max="2" width="40" customWidth="1"/>
    <col min="3" max="4" width="70" customWidth="1"/>
    <col min="5" max="6" width="16" customWidth="1"/>
  </cols>
  <sheetData>
    <row r="1" spans="1:6" ht="18.75" x14ac:dyDescent="0.3">
      <c r="A1" s="1" t="s">
        <v>274</v>
      </c>
    </row>
    <row r="3" spans="1:6" x14ac:dyDescent="0.25">
      <c r="A3" s="5" t="s">
        <v>275</v>
      </c>
      <c r="B3" s="5" t="s">
        <v>4</v>
      </c>
    </row>
    <row r="4" spans="1:6" x14ac:dyDescent="0.25">
      <c r="A4" s="2" t="s">
        <v>276</v>
      </c>
      <c r="B4" s="6">
        <v>14</v>
      </c>
    </row>
    <row r="5" spans="1:6" x14ac:dyDescent="0.25">
      <c r="A5" s="2" t="s">
        <v>277</v>
      </c>
      <c r="B5" s="6">
        <v>5</v>
      </c>
    </row>
    <row r="7" spans="1:6" ht="32.1" customHeight="1" x14ac:dyDescent="0.25">
      <c r="A7" s="5" t="s">
        <v>41</v>
      </c>
      <c r="B7" s="5" t="s">
        <v>278</v>
      </c>
      <c r="C7" s="5" t="s">
        <v>279</v>
      </c>
      <c r="D7" s="5" t="s">
        <v>280</v>
      </c>
      <c r="E7" s="5" t="s">
        <v>281</v>
      </c>
      <c r="F7" s="5" t="s">
        <v>282</v>
      </c>
    </row>
    <row r="8" spans="1:6" x14ac:dyDescent="0.25">
      <c r="A8" s="6">
        <v>1</v>
      </c>
      <c r="B8" s="6">
        <v>100</v>
      </c>
      <c r="C8" s="6">
        <v>1000</v>
      </c>
      <c r="D8" s="6">
        <v>2000</v>
      </c>
      <c r="E8" s="17">
        <f>C8/B8</f>
        <v>10</v>
      </c>
      <c r="F8" s="17">
        <f>D8/B8</f>
        <v>20</v>
      </c>
    </row>
    <row r="9" spans="1:6" x14ac:dyDescent="0.25">
      <c r="A9" s="6">
        <v>2</v>
      </c>
      <c r="B9" s="6">
        <v>100</v>
      </c>
      <c r="C9" s="6">
        <v>1400</v>
      </c>
      <c r="D9" s="6">
        <v>1400</v>
      </c>
      <c r="E9" s="17">
        <f>C9/B9</f>
        <v>14</v>
      </c>
      <c r="F9" s="17">
        <f>D9/B9</f>
        <v>14</v>
      </c>
    </row>
    <row r="10" spans="1:6" x14ac:dyDescent="0.25">
      <c r="A10" s="6">
        <v>3</v>
      </c>
      <c r="B10" s="6">
        <v>100</v>
      </c>
      <c r="C10" s="6">
        <v>2000</v>
      </c>
      <c r="D10" s="6">
        <v>1000</v>
      </c>
      <c r="E10" s="17">
        <f>C10/B10</f>
        <v>20</v>
      </c>
      <c r="F10" s="17">
        <f>D10/B10</f>
        <v>10</v>
      </c>
    </row>
    <row r="12" spans="1:6" ht="32.1" customHeight="1" x14ac:dyDescent="0.25">
      <c r="A12" s="5" t="s">
        <v>283</v>
      </c>
      <c r="B12" s="5" t="s">
        <v>284</v>
      </c>
      <c r="C12" s="5" t="s">
        <v>285</v>
      </c>
    </row>
    <row r="13" spans="1:6" x14ac:dyDescent="0.25">
      <c r="A13" s="2" t="s">
        <v>248</v>
      </c>
      <c r="B13" s="6">
        <v>5</v>
      </c>
      <c r="C13" s="6">
        <v>6</v>
      </c>
    </row>
    <row r="14" spans="1:6" x14ac:dyDescent="0.25">
      <c r="A14" s="2" t="s">
        <v>249</v>
      </c>
      <c r="B14" s="6">
        <v>5</v>
      </c>
      <c r="C14" s="6">
        <v>5</v>
      </c>
    </row>
    <row r="15" spans="1:6" x14ac:dyDescent="0.25">
      <c r="A15" s="2" t="s">
        <v>250</v>
      </c>
      <c r="B15" s="6">
        <v>2</v>
      </c>
      <c r="C15" s="6">
        <v>2</v>
      </c>
    </row>
    <row r="16" spans="1:6" x14ac:dyDescent="0.25">
      <c r="A16" s="2" t="s">
        <v>251</v>
      </c>
      <c r="B16" s="6">
        <v>3</v>
      </c>
      <c r="C16" s="6">
        <v>3</v>
      </c>
    </row>
    <row r="17" spans="1:5" x14ac:dyDescent="0.25">
      <c r="A17" s="2" t="s">
        <v>252</v>
      </c>
      <c r="B17" s="6">
        <v>1</v>
      </c>
      <c r="C17" s="6">
        <v>1</v>
      </c>
    </row>
    <row r="18" spans="1:5" x14ac:dyDescent="0.25">
      <c r="A18" s="2" t="s">
        <v>253</v>
      </c>
      <c r="B18" s="6">
        <v>0</v>
      </c>
      <c r="C18" s="6">
        <v>0</v>
      </c>
    </row>
    <row r="19" spans="1:5" x14ac:dyDescent="0.25">
      <c r="A19" s="2" t="s">
        <v>254</v>
      </c>
      <c r="B19" s="6">
        <v>1</v>
      </c>
      <c r="C19" s="6">
        <v>1</v>
      </c>
    </row>
    <row r="21" spans="1:5" ht="32.1" customHeight="1" x14ac:dyDescent="0.25">
      <c r="A21" s="5" t="s">
        <v>286</v>
      </c>
      <c r="B21" s="5" t="s">
        <v>287</v>
      </c>
      <c r="C21" s="5" t="s">
        <v>288</v>
      </c>
    </row>
    <row r="22" spans="1:5" x14ac:dyDescent="0.25">
      <c r="A22" s="2" t="s">
        <v>289</v>
      </c>
      <c r="B22" s="27">
        <v>6</v>
      </c>
      <c r="C22" s="27">
        <v>6</v>
      </c>
    </row>
    <row r="23" spans="1:5" x14ac:dyDescent="0.25">
      <c r="A23" s="2" t="s">
        <v>290</v>
      </c>
      <c r="B23" s="27">
        <v>6</v>
      </c>
      <c r="C23" s="27">
        <v>-2</v>
      </c>
    </row>
    <row r="24" spans="1:5" x14ac:dyDescent="0.25">
      <c r="A24" s="2" t="s">
        <v>291</v>
      </c>
      <c r="B24" s="27">
        <v>-2</v>
      </c>
      <c r="C24" s="27">
        <v>6</v>
      </c>
    </row>
    <row r="25" spans="1:5" x14ac:dyDescent="0.25">
      <c r="A25" s="2" t="s">
        <v>292</v>
      </c>
      <c r="B25" s="27">
        <v>-2</v>
      </c>
      <c r="C25" s="27">
        <v>-2</v>
      </c>
    </row>
    <row r="26" spans="1:5" x14ac:dyDescent="0.25">
      <c r="A26" s="2" t="s">
        <v>293</v>
      </c>
      <c r="B26" s="27">
        <v>5</v>
      </c>
      <c r="C26" s="27">
        <v>-2</v>
      </c>
    </row>
    <row r="28" spans="1:5" x14ac:dyDescent="0.25">
      <c r="A28" s="5" t="s">
        <v>294</v>
      </c>
      <c r="B28" s="5" t="s">
        <v>295</v>
      </c>
      <c r="C28" s="5" t="s">
        <v>296</v>
      </c>
      <c r="D28" s="5" t="s">
        <v>297</v>
      </c>
      <c r="E28" s="5" t="s">
        <v>298</v>
      </c>
    </row>
    <row r="29" spans="1:5" x14ac:dyDescent="0.25">
      <c r="A29" s="2" t="s">
        <v>299</v>
      </c>
      <c r="B29" s="2" t="s">
        <v>300</v>
      </c>
      <c r="C29" s="23">
        <f>E8</f>
        <v>10</v>
      </c>
      <c r="D29" s="23">
        <f>10</f>
        <v>10</v>
      </c>
      <c r="E29" t="str">
        <f t="shared" ref="E29:E40" si="0">IF(ABS(C29-D29)&lt;0.000001,"match","MISMATCH")</f>
        <v>match</v>
      </c>
    </row>
    <row r="30" spans="1:5" x14ac:dyDescent="0.25">
      <c r="A30" s="2" t="s">
        <v>299</v>
      </c>
      <c r="B30" s="2" t="s">
        <v>301</v>
      </c>
      <c r="C30" s="23">
        <f>E9</f>
        <v>14</v>
      </c>
      <c r="D30" s="23">
        <f>14</f>
        <v>14</v>
      </c>
      <c r="E30" t="str">
        <f t="shared" si="0"/>
        <v>match</v>
      </c>
    </row>
    <row r="31" spans="1:5" x14ac:dyDescent="0.25">
      <c r="A31" s="2" t="s">
        <v>299</v>
      </c>
      <c r="B31" s="2" t="s">
        <v>302</v>
      </c>
      <c r="C31" s="23">
        <f>E10</f>
        <v>20</v>
      </c>
      <c r="D31" s="23">
        <f>20</f>
        <v>20</v>
      </c>
      <c r="E31" t="str">
        <f t="shared" si="0"/>
        <v>match</v>
      </c>
    </row>
    <row r="32" spans="1:5" x14ac:dyDescent="0.25">
      <c r="A32" s="2" t="s">
        <v>299</v>
      </c>
      <c r="B32" s="2" t="s">
        <v>303</v>
      </c>
      <c r="C32" s="23">
        <f>E8-$B$4</f>
        <v>-4</v>
      </c>
      <c r="D32" s="23">
        <f>-4</f>
        <v>-4</v>
      </c>
      <c r="E32" t="str">
        <f t="shared" si="0"/>
        <v>match</v>
      </c>
    </row>
    <row r="33" spans="1:5" x14ac:dyDescent="0.25">
      <c r="A33" s="2" t="s">
        <v>299</v>
      </c>
      <c r="B33" s="2" t="s">
        <v>304</v>
      </c>
      <c r="C33" s="23">
        <f>E9-$B$4</f>
        <v>0</v>
      </c>
      <c r="D33" s="23">
        <f>0</f>
        <v>0</v>
      </c>
      <c r="E33" t="str">
        <f t="shared" si="0"/>
        <v>match</v>
      </c>
    </row>
    <row r="34" spans="1:5" x14ac:dyDescent="0.25">
      <c r="A34" s="2" t="s">
        <v>299</v>
      </c>
      <c r="B34" s="2" t="s">
        <v>305</v>
      </c>
      <c r="C34" s="23">
        <f>E10-$B$4</f>
        <v>6</v>
      </c>
      <c r="D34" s="23">
        <f>6</f>
        <v>6</v>
      </c>
      <c r="E34" t="str">
        <f t="shared" si="0"/>
        <v>match</v>
      </c>
    </row>
    <row r="35" spans="1:5" x14ac:dyDescent="0.25">
      <c r="A35" s="2" t="s">
        <v>299</v>
      </c>
      <c r="B35" s="2" t="s">
        <v>306</v>
      </c>
      <c r="C35" s="23">
        <f>MAX(0,C8-B8*$B$4)</f>
        <v>0</v>
      </c>
      <c r="D35" s="23">
        <f>0</f>
        <v>0</v>
      </c>
      <c r="E35" t="str">
        <f t="shared" si="0"/>
        <v>match</v>
      </c>
    </row>
    <row r="36" spans="1:5" x14ac:dyDescent="0.25">
      <c r="A36" s="2" t="s">
        <v>299</v>
      </c>
      <c r="B36" s="2" t="s">
        <v>307</v>
      </c>
      <c r="C36" s="23">
        <f>MAX(0,C9-B9*$B$4)</f>
        <v>0</v>
      </c>
      <c r="D36" s="23">
        <f>0</f>
        <v>0</v>
      </c>
      <c r="E36" t="str">
        <f t="shared" si="0"/>
        <v>match</v>
      </c>
    </row>
    <row r="37" spans="1:5" x14ac:dyDescent="0.25">
      <c r="A37" s="2" t="s">
        <v>299</v>
      </c>
      <c r="B37" s="2" t="s">
        <v>308</v>
      </c>
      <c r="C37" s="23">
        <f>MAX(0,C10-B10*$B$4)</f>
        <v>600</v>
      </c>
      <c r="D37" s="23">
        <f>600</f>
        <v>600</v>
      </c>
      <c r="E37" t="str">
        <f t="shared" si="0"/>
        <v>match</v>
      </c>
    </row>
    <row r="38" spans="1:5" x14ac:dyDescent="0.25">
      <c r="A38" s="2" t="s">
        <v>299</v>
      </c>
      <c r="B38" s="2" t="s">
        <v>309</v>
      </c>
      <c r="C38" s="23">
        <f>C8-MAX(0,C8-B8*$B$4)</f>
        <v>1000</v>
      </c>
      <c r="D38" s="23">
        <f>1000</f>
        <v>1000</v>
      </c>
      <c r="E38" t="str">
        <f t="shared" si="0"/>
        <v>match</v>
      </c>
    </row>
    <row r="39" spans="1:5" x14ac:dyDescent="0.25">
      <c r="A39" s="2" t="s">
        <v>299</v>
      </c>
      <c r="B39" s="2" t="s">
        <v>310</v>
      </c>
      <c r="C39" s="23">
        <f>C9-MAX(0,C9-B9*$B$4)</f>
        <v>1400</v>
      </c>
      <c r="D39" s="23">
        <f>1400</f>
        <v>1400</v>
      </c>
      <c r="E39" t="str">
        <f t="shared" si="0"/>
        <v>match</v>
      </c>
    </row>
    <row r="40" spans="1:5" x14ac:dyDescent="0.25">
      <c r="A40" s="2" t="s">
        <v>299</v>
      </c>
      <c r="B40" s="2" t="s">
        <v>311</v>
      </c>
      <c r="C40" s="23">
        <f>C10-MAX(0,C10-B10*$B$4)</f>
        <v>1400</v>
      </c>
      <c r="D40" s="23">
        <f>1400</f>
        <v>1400</v>
      </c>
      <c r="E40" t="str">
        <f t="shared" si="0"/>
        <v>match</v>
      </c>
    </row>
    <row r="41" spans="1:5" x14ac:dyDescent="0.25">
      <c r="A41" s="2" t="s">
        <v>299</v>
      </c>
      <c r="B41" s="2" t="s">
        <v>312</v>
      </c>
      <c r="C41" t="b">
        <f>E8&lt;=$B$4</f>
        <v>1</v>
      </c>
      <c r="D41" t="b">
        <f>TRUE</f>
        <v>1</v>
      </c>
      <c r="E41" t="str">
        <f>IF(C41=D41,"match","MISMATCH")</f>
        <v>match</v>
      </c>
    </row>
    <row r="42" spans="1:5" x14ac:dyDescent="0.25">
      <c r="A42" s="2" t="s">
        <v>299</v>
      </c>
      <c r="B42" s="2" t="s">
        <v>313</v>
      </c>
      <c r="C42" t="b">
        <f>E9&lt;=$B$4</f>
        <v>1</v>
      </c>
      <c r="D42" t="b">
        <f>TRUE</f>
        <v>1</v>
      </c>
      <c r="E42" t="str">
        <f>IF(C42=D42,"match","MISMATCH")</f>
        <v>match</v>
      </c>
    </row>
    <row r="43" spans="1:5" x14ac:dyDescent="0.25">
      <c r="A43" s="2" t="s">
        <v>299</v>
      </c>
      <c r="B43" s="2" t="s">
        <v>314</v>
      </c>
      <c r="C43" t="b">
        <f>E10&lt;=$B$4</f>
        <v>0</v>
      </c>
      <c r="D43" t="b">
        <f>FALSE</f>
        <v>0</v>
      </c>
      <c r="E43" t="str">
        <f>IF(C43=D43,"match","MISMATCH")</f>
        <v>match</v>
      </c>
    </row>
    <row r="44" spans="1:5" x14ac:dyDescent="0.25">
      <c r="A44" s="2" t="s">
        <v>299</v>
      </c>
      <c r="B44" s="2" t="s">
        <v>315</v>
      </c>
      <c r="C44" s="23">
        <f>SLOPE(E8:E10,A8:A10)</f>
        <v>5</v>
      </c>
      <c r="D44" s="23">
        <f>5</f>
        <v>5</v>
      </c>
      <c r="E44" t="str">
        <f>IF(ABS(C44-D44)&lt;0.000001,"match","MISMATCH")</f>
        <v>match</v>
      </c>
    </row>
    <row r="45" spans="1:5" x14ac:dyDescent="0.25">
      <c r="A45" s="2" t="s">
        <v>299</v>
      </c>
      <c r="B45" s="2" t="s">
        <v>316</v>
      </c>
      <c r="C45" t="str">
        <f>IF(SLOPE(E8:E10,A8:A10)&lt;0,"Met","Not met")</f>
        <v>Not met</v>
      </c>
      <c r="D45" t="str">
        <f>"Not met"</f>
        <v>Not met</v>
      </c>
      <c r="E45" t="str">
        <f>IF(C45=D45,"match","MISMATCH")</f>
        <v>match</v>
      </c>
    </row>
    <row r="46" spans="1:5" x14ac:dyDescent="0.25">
      <c r="A46" s="2" t="s">
        <v>317</v>
      </c>
      <c r="B46" s="2" t="s">
        <v>300</v>
      </c>
      <c r="C46" s="23">
        <f>F8</f>
        <v>20</v>
      </c>
      <c r="D46" s="23">
        <f>20</f>
        <v>20</v>
      </c>
      <c r="E46" t="str">
        <f>IF(ABS(C46-D46)&lt;0.000001,"match","MISMATCH")</f>
        <v>match</v>
      </c>
    </row>
    <row r="47" spans="1:5" x14ac:dyDescent="0.25">
      <c r="A47" s="2" t="s">
        <v>317</v>
      </c>
      <c r="B47" s="2" t="s">
        <v>301</v>
      </c>
      <c r="C47" s="23">
        <f>F9</f>
        <v>14</v>
      </c>
      <c r="D47" s="23">
        <f>14</f>
        <v>14</v>
      </c>
      <c r="E47" t="str">
        <f>IF(ABS(C47-D47)&lt;0.000001,"match","MISMATCH")</f>
        <v>match</v>
      </c>
    </row>
    <row r="48" spans="1:5" x14ac:dyDescent="0.25">
      <c r="A48" s="2" t="s">
        <v>317</v>
      </c>
      <c r="B48" s="2" t="s">
        <v>302</v>
      </c>
      <c r="C48" s="23">
        <f>F10</f>
        <v>10</v>
      </c>
      <c r="D48" s="23">
        <f>10</f>
        <v>10</v>
      </c>
      <c r="E48" t="str">
        <f>IF(ABS(C48-D48)&lt;0.000001,"match","MISMATCH")</f>
        <v>match</v>
      </c>
    </row>
    <row r="49" spans="1:5" x14ac:dyDescent="0.25">
      <c r="A49" s="2" t="s">
        <v>317</v>
      </c>
      <c r="B49" s="2" t="s">
        <v>315</v>
      </c>
      <c r="C49" s="23">
        <f>SLOPE(F8:F10,A8:A10)</f>
        <v>-5</v>
      </c>
      <c r="D49" s="23">
        <f>-5</f>
        <v>-5</v>
      </c>
      <c r="E49" t="str">
        <f>IF(ABS(C49-D49)&lt;0.000001,"match","MISMATCH")</f>
        <v>match</v>
      </c>
    </row>
    <row r="50" spans="1:5" x14ac:dyDescent="0.25">
      <c r="A50" s="2" t="s">
        <v>317</v>
      </c>
      <c r="B50" s="2" t="s">
        <v>316</v>
      </c>
      <c r="C50" t="str">
        <f>IF(SLOPE(F8:F10,A8:A10)&lt;0,"Met","Not met")</f>
        <v>Met</v>
      </c>
      <c r="D50" t="str">
        <f>"Met"</f>
        <v>Met</v>
      </c>
      <c r="E50" t="str">
        <f t="shared" ref="E50:E57" si="1">IF(C50=D50,"match","MISMATCH")</f>
        <v>match</v>
      </c>
    </row>
    <row r="51" spans="1:5" x14ac:dyDescent="0.25">
      <c r="A51" s="2" t="s">
        <v>318</v>
      </c>
      <c r="B51" s="2" t="s">
        <v>319</v>
      </c>
      <c r="C51" t="str">
        <f>IF((IF(B13=MAX(B13,B14,B15,B16,B17,B18,B19),1,0)+IF(B14=MAX(B13,B14,B15,B16,B17,B18,B19),1,0)+IF(B15=MAX(B13,B14,B15,B16,B17,B18,B19),1,0)+IF(B16=MAX(B13,B14,B15,B16,B17,B18,B19),1,0)+IF(B17=MAX(B13,B14,B15,B16,B17,B18,B19),1,0)+IF(B18=MAX(B13,B14,B15,B16,B17,B18,B19),1,0)+IF(B19=MAX(B13,B14,B15,B16,B17,B18,B19),1,0))&gt;1,"Tie (none largest)",IF(B13=MAX(B13,B14,B15,B16,B17,B18,B19),"No bed",IF(B14=MAX(B13,B14,B15,B16,B17,B18,B19),"Behavior",IF(B15=MAX(B13,B14,B15,B16,B17,B18,B19),"Special care",IF(B16=MAX(B13,B14,B15,B16,B17,B18,B19),"Financial",IF(B17=MAX(B13,B14,B15,B16,B17,B18,B19),"Guardianship",IF(B18=MAX(B13,B14,B15,B16,B17,B18,B19),"PASARR",IF(B19=MAX(B13,B14,B15,B16,B17,B18,B19),"Other","?"))))))))</f>
        <v>Tie (none largest)</v>
      </c>
      <c r="D51" t="str">
        <f>"Tie (none largest)"</f>
        <v>Tie (none largest)</v>
      </c>
      <c r="E51" t="str">
        <f t="shared" si="1"/>
        <v>match</v>
      </c>
    </row>
    <row r="52" spans="1:5" x14ac:dyDescent="0.25">
      <c r="A52" s="2" t="s">
        <v>320</v>
      </c>
      <c r="B52" s="2" t="s">
        <v>321</v>
      </c>
      <c r="C52" t="str">
        <f>IF((IF(C13=MAX(C13,C14,C15,C16,C17,C18,C19),1,0)+IF(C14=MAX(C13,C14,C15,C16,C17,C18,C19),1,0)+IF(C15=MAX(C13,C14,C15,C16,C17,C18,C19),1,0)+IF(C16=MAX(C13,C14,C15,C16,C17,C18,C19),1,0)+IF(C17=MAX(C13,C14,C15,C16,C17,C18,C19),1,0)+IF(C18=MAX(C13,C14,C15,C16,C17,C18,C19),1,0)+IF(C19=MAX(C13,C14,C15,C16,C17,C18,C19),1,0))&gt;1,"Tie (none largest)",IF(C13=MAX(C13,C14,C15,C16,C17,C18,C19),"No bed",IF(C14=MAX(C13,C14,C15,C16,C17,C18,C19),"Behavior",IF(C15=MAX(C13,C14,C15,C16,C17,C18,C19),"Special care",IF(C16=MAX(C13,C14,C15,C16,C17,C18,C19),"Financial",IF(C17=MAX(C13,C14,C15,C16,C17,C18,C19),"Guardianship",IF(C18=MAX(C13,C14,C15,C16,C17,C18,C19),"PASARR",IF(C19=MAX(C13,C14,C15,C16,C17,C18,C19),"Other","?"))))))))</f>
        <v>No bed</v>
      </c>
      <c r="D52" t="str">
        <f>"No bed"</f>
        <v>No bed</v>
      </c>
      <c r="E52" t="str">
        <f t="shared" si="1"/>
        <v>match</v>
      </c>
    </row>
    <row r="53" spans="1:5" x14ac:dyDescent="0.25">
      <c r="A53" s="2" t="s">
        <v>322</v>
      </c>
      <c r="B53" s="2" t="s">
        <v>323</v>
      </c>
      <c r="C53" t="str">
        <f>IF(AND(NOT(B22&gt;=$B$5),NOT(C22&gt;=$B$5)),"Falsified",IF(AND(B22&gt;=$B$5,NOT(C22&gt;=$B$5)),"Not falsified; weak (rests on the COVID-confounded 2021 comparison)","Not falsified"))</f>
        <v>Not falsified</v>
      </c>
      <c r="D53" t="str">
        <f>"Not falsified"</f>
        <v>Not falsified</v>
      </c>
      <c r="E53" t="str">
        <f t="shared" si="1"/>
        <v>match</v>
      </c>
    </row>
    <row r="54" spans="1:5" x14ac:dyDescent="0.25">
      <c r="A54" s="2" t="s">
        <v>322</v>
      </c>
      <c r="B54" s="2" t="s">
        <v>324</v>
      </c>
      <c r="C54" t="str">
        <f>IF(AND(NOT(B23&gt;=$B$5),NOT(C23&gt;=$B$5)),"Falsified",IF(AND(B23&gt;=$B$5,NOT(C23&gt;=$B$5)),"Not falsified; weak (rests on the COVID-confounded 2021 comparison)","Not falsified"))</f>
        <v>Not falsified; weak (rests on the COVID-confounded 2021 comparison)</v>
      </c>
      <c r="D54" t="str">
        <f>"Not falsified; weak (rests on the COVID-confounded 2021 comparison)"</f>
        <v>Not falsified; weak (rests on the COVID-confounded 2021 comparison)</v>
      </c>
      <c r="E54" t="str">
        <f t="shared" si="1"/>
        <v>match</v>
      </c>
    </row>
    <row r="55" spans="1:5" x14ac:dyDescent="0.25">
      <c r="A55" s="2" t="s">
        <v>322</v>
      </c>
      <c r="B55" s="2" t="s">
        <v>325</v>
      </c>
      <c r="C55" t="str">
        <f>IF(AND(NOT(B24&gt;=$B$5),NOT(C24&gt;=$B$5)),"Falsified",IF(AND(B24&gt;=$B$5,NOT(C24&gt;=$B$5)),"Not falsified; weak (rests on the COVID-confounded 2021 comparison)","Not falsified"))</f>
        <v>Not falsified</v>
      </c>
      <c r="D55" t="str">
        <f>"Not falsified"</f>
        <v>Not falsified</v>
      </c>
      <c r="E55" t="str">
        <f t="shared" si="1"/>
        <v>match</v>
      </c>
    </row>
    <row r="56" spans="1:5" x14ac:dyDescent="0.25">
      <c r="A56" s="2" t="s">
        <v>322</v>
      </c>
      <c r="B56" s="2" t="s">
        <v>326</v>
      </c>
      <c r="C56" t="str">
        <f>IF(AND(NOT(B25&gt;=$B$5),NOT(C25&gt;=$B$5)),"Falsified",IF(AND(B25&gt;=$B$5,NOT(C25&gt;=$B$5)),"Not falsified; weak (rests on the COVID-confounded 2021 comparison)","Not falsified"))</f>
        <v>Falsified</v>
      </c>
      <c r="D56" t="str">
        <f>"Falsified"</f>
        <v>Falsified</v>
      </c>
      <c r="E56" t="str">
        <f t="shared" si="1"/>
        <v>match</v>
      </c>
    </row>
    <row r="57" spans="1:5" x14ac:dyDescent="0.25">
      <c r="A57" s="2" t="s">
        <v>322</v>
      </c>
      <c r="B57" s="2" t="s">
        <v>327</v>
      </c>
      <c r="C57" t="str">
        <f>IF(AND(NOT(B26&gt;=$B$5),NOT(C26&gt;=$B$5)),"Falsified",IF(AND(B26&gt;=$B$5,NOT(C26&gt;=$B$5)),"Not falsified; weak (rests on the COVID-confounded 2021 comparison)","Not falsified"))</f>
        <v>Not falsified; weak (rests on the COVID-confounded 2021 comparison)</v>
      </c>
      <c r="D57" t="str">
        <f>"Not falsified; weak (rests on the COVID-confounded 2021 comparison)"</f>
        <v>Not falsified; weak (rests on the COVID-confounded 2021 comparison)</v>
      </c>
      <c r="E57" t="str">
        <f t="shared" si="1"/>
        <v>match</v>
      </c>
    </row>
    <row r="58" spans="1:5" x14ac:dyDescent="0.25">
      <c r="B58" s="2" t="s">
        <v>328</v>
      </c>
      <c r="C58" s="3">
        <f>COUNTIF(E29:E57,"match")</f>
        <v>29</v>
      </c>
      <c r="D58" s="3">
        <f>ROWS(E29:E57)</f>
        <v>29</v>
      </c>
    </row>
    <row r="60" spans="1:5" x14ac:dyDescent="0.25">
      <c r="A60" s="14" t="s">
        <v>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5"/>
  <sheetViews>
    <sheetView workbookViewId="0"/>
  </sheetViews>
  <sheetFormatPr defaultRowHeight="15" x14ac:dyDescent="0.25"/>
  <cols>
    <col min="1" max="1" width="6" customWidth="1"/>
    <col min="2" max="2" width="14" customWidth="1"/>
    <col min="3" max="3" width="96" customWidth="1"/>
    <col min="4" max="4" width="18" customWidth="1"/>
    <col min="5" max="5" width="16" customWidth="1"/>
    <col min="6" max="6" width="13" customWidth="1"/>
    <col min="7" max="7" width="10" customWidth="1"/>
  </cols>
  <sheetData>
    <row r="1" spans="1:7" ht="18.75" x14ac:dyDescent="0.3">
      <c r="A1" s="1" t="s">
        <v>330</v>
      </c>
    </row>
    <row r="3" spans="1:7" x14ac:dyDescent="0.25">
      <c r="A3" s="4" t="s">
        <v>331</v>
      </c>
    </row>
    <row r="4" spans="1:7" x14ac:dyDescent="0.25">
      <c r="A4" s="5" t="s">
        <v>332</v>
      </c>
      <c r="B4" s="5" t="s">
        <v>333</v>
      </c>
      <c r="C4" s="5" t="s">
        <v>334</v>
      </c>
      <c r="D4" s="5" t="s">
        <v>296</v>
      </c>
      <c r="E4" s="5" t="s">
        <v>297</v>
      </c>
      <c r="F4" s="5" t="s">
        <v>335</v>
      </c>
      <c r="G4" s="5" t="s">
        <v>336</v>
      </c>
    </row>
    <row r="5" spans="1:7" x14ac:dyDescent="0.25">
      <c r="A5" s="28">
        <f>1</f>
        <v>1</v>
      </c>
      <c r="B5" s="2" t="s">
        <v>337</v>
      </c>
      <c r="C5" s="2" t="s">
        <v>338</v>
      </c>
      <c r="D5" s="23">
        <f>INDEX(DAYS_PER_PT,MATCH(2023,YEAR,0))</f>
        <v>23.018559556786702</v>
      </c>
      <c r="E5" s="23">
        <f>23.02</f>
        <v>23.02</v>
      </c>
      <c r="F5">
        <f>0.005</f>
        <v>5.0000000000000001E-3</v>
      </c>
      <c r="G5" t="str">
        <f t="shared" ref="G5:G26" si="0">IF(AND(ISNUMBER(D5),ISNUMBER(E5)),IF(ABS(D5-E5)&lt;=F5,"PASS","FAIL"),"FAIL")</f>
        <v>PASS</v>
      </c>
    </row>
    <row r="6" spans="1:7" x14ac:dyDescent="0.25">
      <c r="A6" s="28">
        <f>2</f>
        <v>2</v>
      </c>
      <c r="B6" s="2" t="s">
        <v>337</v>
      </c>
      <c r="C6" s="2" t="s">
        <v>339</v>
      </c>
      <c r="D6" s="23">
        <f>INDEX(DAYS_PER_PT,MATCH(2024,YEAR,0))</f>
        <v>19.492795389048993</v>
      </c>
      <c r="E6" s="23">
        <f>19.49</f>
        <v>19.489999999999998</v>
      </c>
      <c r="F6">
        <f>0.005</f>
        <v>5.0000000000000001E-3</v>
      </c>
      <c r="G6" t="str">
        <f t="shared" si="0"/>
        <v>PASS</v>
      </c>
    </row>
    <row r="7" spans="1:7" x14ac:dyDescent="0.25">
      <c r="A7" s="28">
        <f>3</f>
        <v>3</v>
      </c>
      <c r="B7" s="2" t="s">
        <v>337</v>
      </c>
      <c r="C7" s="2" t="s">
        <v>340</v>
      </c>
      <c r="D7" s="3">
        <f>INDEX(EXCESS_DAYS,MATCH(2023,YEAR,0))</f>
        <v>32557</v>
      </c>
      <c r="E7" s="3">
        <f>32557</f>
        <v>32557</v>
      </c>
      <c r="F7">
        <f>0.5</f>
        <v>0.5</v>
      </c>
      <c r="G7" t="str">
        <f t="shared" si="0"/>
        <v>PASS</v>
      </c>
    </row>
    <row r="8" spans="1:7" x14ac:dyDescent="0.25">
      <c r="A8" s="28">
        <f>4</f>
        <v>4</v>
      </c>
      <c r="B8" s="2" t="s">
        <v>337</v>
      </c>
      <c r="C8" s="2" t="s">
        <v>341</v>
      </c>
      <c r="D8" s="3">
        <f>INDEX(EXCESS_DAYS,MATCH(2024,YEAR,0))</f>
        <v>17154</v>
      </c>
      <c r="E8" s="3">
        <f>17154</f>
        <v>17154</v>
      </c>
      <c r="F8">
        <f>0.5</f>
        <v>0.5</v>
      </c>
      <c r="G8" t="str">
        <f t="shared" si="0"/>
        <v>PASS</v>
      </c>
    </row>
    <row r="9" spans="1:7" x14ac:dyDescent="0.25">
      <c r="A9" s="28">
        <f>5</f>
        <v>5</v>
      </c>
      <c r="B9" s="2" t="s">
        <v>337</v>
      </c>
      <c r="C9" s="2" t="s">
        <v>342</v>
      </c>
      <c r="D9" s="17">
        <f>INDEX(EXCESS_BEDS,MATCH(2023,YEAR,0))</f>
        <v>89.197260273972603</v>
      </c>
      <c r="E9" s="17">
        <f>89.2</f>
        <v>89.2</v>
      </c>
      <c r="F9">
        <f>0.05</f>
        <v>0.05</v>
      </c>
      <c r="G9" t="str">
        <f t="shared" si="0"/>
        <v>PASS</v>
      </c>
    </row>
    <row r="10" spans="1:7" x14ac:dyDescent="0.25">
      <c r="A10" s="28">
        <f>6</f>
        <v>6</v>
      </c>
      <c r="B10" s="2" t="s">
        <v>337</v>
      </c>
      <c r="C10" s="2" t="s">
        <v>343</v>
      </c>
      <c r="D10" s="17">
        <f>INDEX(EXCESS_BEDS,MATCH(2024,YEAR,0))</f>
        <v>46.868852459016395</v>
      </c>
      <c r="E10" s="17">
        <f>46.9</f>
        <v>46.9</v>
      </c>
      <c r="F10">
        <f>0.05</f>
        <v>0.05</v>
      </c>
      <c r="G10" t="str">
        <f t="shared" si="0"/>
        <v>PASS</v>
      </c>
    </row>
    <row r="11" spans="1:7" x14ac:dyDescent="0.25">
      <c r="A11" s="28">
        <f>7</f>
        <v>7</v>
      </c>
      <c r="B11" s="2" t="s">
        <v>337</v>
      </c>
      <c r="C11" s="2" t="s">
        <v>344</v>
      </c>
      <c r="D11" s="3">
        <f>INDEX(EXCESS_DAYS,MATCH(2017,YEAR,0))+INDEX(EXCESS_DAYS,MATCH(2018,YEAR,0))+INDEX(EXCESS_DAYS,MATCH(2020,YEAR,0))+INDEX(EXCESS_DAYS,MATCH(2021,YEAR,0))</f>
        <v>0</v>
      </c>
      <c r="E11" s="3">
        <f>0</f>
        <v>0</v>
      </c>
      <c r="F11">
        <f>0</f>
        <v>0</v>
      </c>
      <c r="G11" t="str">
        <f t="shared" si="0"/>
        <v>PASS</v>
      </c>
    </row>
    <row r="12" spans="1:7" x14ac:dyDescent="0.25">
      <c r="A12" s="28">
        <f>8</f>
        <v>8</v>
      </c>
      <c r="B12" s="2" t="s">
        <v>337</v>
      </c>
      <c r="C12" s="2" t="s">
        <v>345</v>
      </c>
      <c r="D12" s="23">
        <f>INDEX(GAP_PER_PT,MATCH(2017,YEAR,0))</f>
        <v>-4.064651689025375</v>
      </c>
      <c r="E12" s="23">
        <f>-4.06</f>
        <v>-4.0599999999999996</v>
      </c>
      <c r="F12">
        <f>0.005</f>
        <v>5.0000000000000001E-3</v>
      </c>
      <c r="G12" t="str">
        <f t="shared" si="0"/>
        <v>PASS</v>
      </c>
    </row>
    <row r="13" spans="1:7" x14ac:dyDescent="0.25">
      <c r="A13" s="28">
        <f>9</f>
        <v>9</v>
      </c>
      <c r="B13" s="2" t="s">
        <v>337</v>
      </c>
      <c r="C13" s="2" t="s">
        <v>346</v>
      </c>
      <c r="D13" s="23">
        <f>INDEX(GAP_PER_PT,MATCH(2024,YEAR,0))</f>
        <v>5.4927953890489931</v>
      </c>
      <c r="E13" s="23">
        <f>5.49</f>
        <v>5.49</v>
      </c>
      <c r="F13">
        <f>0.005</f>
        <v>5.0000000000000001E-3</v>
      </c>
      <c r="G13" t="str">
        <f t="shared" si="0"/>
        <v>PASS</v>
      </c>
    </row>
    <row r="14" spans="1:7" x14ac:dyDescent="0.25">
      <c r="A14" s="28">
        <f>10</f>
        <v>10</v>
      </c>
      <c r="B14" s="2" t="s">
        <v>337</v>
      </c>
      <c r="C14" s="2" t="s">
        <v>347</v>
      </c>
      <c r="D14" s="29">
        <f>INDEX(WL_RATE_AVG,1)</f>
        <v>293.245</v>
      </c>
      <c r="E14" s="29">
        <f>293.245</f>
        <v>293.245</v>
      </c>
      <c r="F14">
        <f>0.0005</f>
        <v>5.0000000000000001E-4</v>
      </c>
      <c r="G14" t="str">
        <f t="shared" si="0"/>
        <v>PASS</v>
      </c>
    </row>
    <row r="15" spans="1:7" x14ac:dyDescent="0.25">
      <c r="A15" s="28">
        <f>11</f>
        <v>11</v>
      </c>
      <c r="B15" s="2" t="s">
        <v>337</v>
      </c>
      <c r="C15" s="2" t="s">
        <v>348</v>
      </c>
      <c r="D15" s="29">
        <f>INDEX(WL_RATE_AVG,2)</f>
        <v>460.28</v>
      </c>
      <c r="E15" s="29">
        <f>460.28</f>
        <v>460.28</v>
      </c>
      <c r="F15">
        <f>0.005</f>
        <v>5.0000000000000001E-3</v>
      </c>
      <c r="G15" t="str">
        <f t="shared" si="0"/>
        <v>PASS</v>
      </c>
    </row>
    <row r="16" spans="1:7" x14ac:dyDescent="0.25">
      <c r="A16" s="28">
        <f>12</f>
        <v>12</v>
      </c>
      <c r="B16" s="2" t="s">
        <v>337</v>
      </c>
      <c r="C16" s="2" t="s">
        <v>349</v>
      </c>
      <c r="D16" s="20">
        <f>INDEX(NET_COST_LO,2)</f>
        <v>89.720000000000027</v>
      </c>
      <c r="E16" s="20">
        <f>89.72</f>
        <v>89.72</v>
      </c>
      <c r="F16">
        <f>0.005</f>
        <v>5.0000000000000001E-3</v>
      </c>
      <c r="G16" t="str">
        <f t="shared" si="0"/>
        <v>PASS</v>
      </c>
    </row>
    <row r="17" spans="1:7" x14ac:dyDescent="0.25">
      <c r="A17" s="28">
        <f>13</f>
        <v>13</v>
      </c>
      <c r="B17" s="2" t="s">
        <v>337</v>
      </c>
      <c r="C17" s="2" t="s">
        <v>350</v>
      </c>
      <c r="D17" s="20">
        <f>INDEX(NET_COST_HI,2)</f>
        <v>1009.72</v>
      </c>
      <c r="E17" s="20">
        <f>1009.72</f>
        <v>1009.72</v>
      </c>
      <c r="F17">
        <f>0.005</f>
        <v>5.0000000000000001E-3</v>
      </c>
      <c r="G17" t="str">
        <f t="shared" si="0"/>
        <v>PASS</v>
      </c>
    </row>
    <row r="18" spans="1:7" x14ac:dyDescent="0.25">
      <c r="A18" s="28">
        <f>14</f>
        <v>14</v>
      </c>
      <c r="B18" s="2" t="s">
        <v>337</v>
      </c>
      <c r="C18" s="2" t="s">
        <v>351</v>
      </c>
      <c r="D18" s="21">
        <f>INDEX(EXCESS_COST_LO,2)</f>
        <v>1539056.8800000004</v>
      </c>
      <c r="E18" s="21">
        <f>1539057</f>
        <v>1539057</v>
      </c>
      <c r="F18">
        <f>0.5</f>
        <v>0.5</v>
      </c>
      <c r="G18" t="str">
        <f t="shared" si="0"/>
        <v>PASS</v>
      </c>
    </row>
    <row r="19" spans="1:7" x14ac:dyDescent="0.25">
      <c r="A19" s="28">
        <f>15</f>
        <v>15</v>
      </c>
      <c r="B19" s="2" t="s">
        <v>337</v>
      </c>
      <c r="C19" s="2" t="s">
        <v>352</v>
      </c>
      <c r="D19" s="21">
        <f>INDEX(EXCESS_COST_HI,2)</f>
        <v>17320736.879999999</v>
      </c>
      <c r="E19" s="21">
        <f>17320737</f>
        <v>17320737</v>
      </c>
      <c r="F19">
        <f>0.5</f>
        <v>0.5</v>
      </c>
      <c r="G19" t="str">
        <f t="shared" si="0"/>
        <v>PASS</v>
      </c>
    </row>
    <row r="20" spans="1:7" x14ac:dyDescent="0.25">
      <c r="A20" s="28">
        <f>16</f>
        <v>16</v>
      </c>
      <c r="B20" s="2" t="s">
        <v>337</v>
      </c>
      <c r="C20" s="2" t="s">
        <v>353</v>
      </c>
      <c r="D20" s="20">
        <f>NET_COST_LO_NOW</f>
        <v>63.240000000000009</v>
      </c>
      <c r="E20" s="20">
        <f>63.24</f>
        <v>63.24</v>
      </c>
      <c r="F20">
        <f>0.005</f>
        <v>5.0000000000000001E-3</v>
      </c>
      <c r="G20" t="str">
        <f t="shared" si="0"/>
        <v>PASS</v>
      </c>
    </row>
    <row r="21" spans="1:7" x14ac:dyDescent="0.25">
      <c r="A21" s="28">
        <f>17</f>
        <v>17</v>
      </c>
      <c r="B21" s="2" t="s">
        <v>337</v>
      </c>
      <c r="C21" s="2" t="s">
        <v>354</v>
      </c>
      <c r="D21" s="20">
        <f>NET_COST_HI_NOW</f>
        <v>983.24</v>
      </c>
      <c r="E21" s="20">
        <f>983.24</f>
        <v>983.24</v>
      </c>
      <c r="F21">
        <f>0.005</f>
        <v>5.0000000000000001E-3</v>
      </c>
      <c r="G21" t="str">
        <f t="shared" si="0"/>
        <v>PASS</v>
      </c>
    </row>
    <row r="22" spans="1:7" x14ac:dyDescent="0.25">
      <c r="A22" s="28">
        <f>18</f>
        <v>18</v>
      </c>
      <c r="B22" s="2" t="s">
        <v>337</v>
      </c>
      <c r="C22" s="2" t="s">
        <v>355</v>
      </c>
      <c r="D22" s="18">
        <f>WL_DAYS_CHANGE_2024</f>
        <v>-0.26741037582584204</v>
      </c>
      <c r="E22" s="18">
        <f>-0.267</f>
        <v>-0.26700000000000002</v>
      </c>
      <c r="F22">
        <f>0.0005</f>
        <v>5.0000000000000001E-4</v>
      </c>
      <c r="G22" t="str">
        <f t="shared" si="0"/>
        <v>PASS</v>
      </c>
    </row>
    <row r="23" spans="1:7" x14ac:dyDescent="0.25">
      <c r="A23" s="28">
        <f>19</f>
        <v>19</v>
      </c>
      <c r="B23" s="2" t="s">
        <v>337</v>
      </c>
      <c r="C23" s="2" t="s">
        <v>356</v>
      </c>
      <c r="D23" s="23">
        <f>T1_DROP_2021*100</f>
        <v>-1.9179894179894159</v>
      </c>
      <c r="E23" s="23">
        <f>-1.92</f>
        <v>-1.92</v>
      </c>
      <c r="F23">
        <f>0.005</f>
        <v>5.0000000000000001E-3</v>
      </c>
      <c r="G23" t="str">
        <f t="shared" si="0"/>
        <v>PASS</v>
      </c>
    </row>
    <row r="24" spans="1:7" x14ac:dyDescent="0.25">
      <c r="A24" s="28">
        <f>20</f>
        <v>20</v>
      </c>
      <c r="B24" s="2" t="s">
        <v>337</v>
      </c>
      <c r="C24" s="2" t="s">
        <v>357</v>
      </c>
      <c r="D24" s="23">
        <f>T1_DROP_2024*100</f>
        <v>-11.121871500771721</v>
      </c>
      <c r="E24" s="23">
        <f>-11.12</f>
        <v>-11.12</v>
      </c>
      <c r="F24">
        <f>0.005</f>
        <v>5.0000000000000001E-3</v>
      </c>
      <c r="G24" t="str">
        <f t="shared" si="0"/>
        <v>PASS</v>
      </c>
    </row>
    <row r="25" spans="1:7" x14ac:dyDescent="0.25">
      <c r="A25" s="28">
        <f>21</f>
        <v>21</v>
      </c>
      <c r="B25" s="2" t="s">
        <v>337</v>
      </c>
      <c r="C25" s="2" t="s">
        <v>358</v>
      </c>
      <c r="D25" s="23">
        <f>T2_SLOPE</f>
        <v>1.8814212714379457</v>
      </c>
      <c r="E25" s="23">
        <f>1.88</f>
        <v>1.88</v>
      </c>
      <c r="F25">
        <f>0.005</f>
        <v>5.0000000000000001E-3</v>
      </c>
      <c r="G25" t="str">
        <f t="shared" si="0"/>
        <v>PASS</v>
      </c>
    </row>
    <row r="26" spans="1:7" x14ac:dyDescent="0.25">
      <c r="A26" s="28">
        <f>22</f>
        <v>22</v>
      </c>
      <c r="B26" s="2" t="s">
        <v>337</v>
      </c>
      <c r="C26" s="2" t="s">
        <v>359</v>
      </c>
      <c r="D26" s="3">
        <f>T3_YEARS</f>
        <v>5</v>
      </c>
      <c r="E26" s="3">
        <f>5</f>
        <v>5</v>
      </c>
      <c r="F26">
        <f>0</f>
        <v>0</v>
      </c>
      <c r="G26" t="str">
        <f t="shared" si="0"/>
        <v>PASS</v>
      </c>
    </row>
    <row r="27" spans="1:7" x14ac:dyDescent="0.25">
      <c r="A27" s="28">
        <f>23</f>
        <v>23</v>
      </c>
      <c r="B27" s="2" t="s">
        <v>337</v>
      </c>
      <c r="C27" s="2" t="s">
        <v>360</v>
      </c>
      <c r="D27" t="b">
        <f>AND(INDEX(LARGEST_REASON,MATCH(2017,YEAR,0))="No bed",INDEX(LARGEST_REASON,MATCH(2018,YEAR,0))="No bed",INDEX(LARGEST_REASON,MATCH(2019,YEAR,0))="No bed",INDEX(LARGEST_REASON,MATCH(2020,YEAR,0))="No bed",INDEX(LARGEST_REASON,MATCH(2021,YEAR,0))="No bed")</f>
        <v>1</v>
      </c>
      <c r="E27" t="b">
        <f>TRUE</f>
        <v>1</v>
      </c>
      <c r="F27" t="str">
        <f>"exact"</f>
        <v>exact</v>
      </c>
      <c r="G27" t="str">
        <f>IF(D27=E27,"PASS","FAIL")</f>
        <v>PASS</v>
      </c>
    </row>
    <row r="28" spans="1:7" x14ac:dyDescent="0.25">
      <c r="A28" s="28">
        <f>24</f>
        <v>24</v>
      </c>
      <c r="B28" s="2" t="s">
        <v>337</v>
      </c>
      <c r="C28" s="2" t="s">
        <v>361</v>
      </c>
      <c r="D28" t="b">
        <f>AND(INDEX(REASON_SUM,2)=INDEX(DEC31_TOTAL,2),INDEX(REASON_SUM,3)=INDEX(DEC31_TOTAL,3),INDEX(REASON_SUM,4)=INDEX(DEC31_TOTAL,4),INDEX(REASON_SUM,5)=INDEX(DEC31_TOTAL,5),INDEX(REASON_SUM,6)=INDEX(DEC31_TOTAL,6),INDEX(REASON_SUM,7)=INDEX(DEC31_TOTAL,7),INDEX(REASON_SUM,8)=INDEX(DEC31_TOTAL,8))</f>
        <v>1</v>
      </c>
      <c r="E28" t="b">
        <f>TRUE</f>
        <v>1</v>
      </c>
      <c r="F28" t="str">
        <f>"exact"</f>
        <v>exact</v>
      </c>
      <c r="G28" t="str">
        <f>IF(D28=E28,"PASS","FAIL")</f>
        <v>PASS</v>
      </c>
    </row>
    <row r="29" spans="1:7" x14ac:dyDescent="0.25">
      <c r="A29" s="28">
        <f>25</f>
        <v>25</v>
      </c>
      <c r="B29" s="2" t="s">
        <v>337</v>
      </c>
      <c r="C29" s="2" t="s">
        <v>362</v>
      </c>
      <c r="D29" s="3">
        <f>INDEX(REASON_SUM,MATCH(2017,YEAR,0))</f>
        <v>120</v>
      </c>
      <c r="E29" s="3">
        <f>120</f>
        <v>120</v>
      </c>
      <c r="F29">
        <f>0</f>
        <v>0</v>
      </c>
      <c r="G29" t="str">
        <f t="shared" ref="G29:G45" si="1">IF(AND(ISNUMBER(D29),ISNUMBER(E29)),IF(ABS(D29-E29)&lt;=F29,"PASS","FAIL"),"FAIL")</f>
        <v>PASS</v>
      </c>
    </row>
    <row r="30" spans="1:7" x14ac:dyDescent="0.25">
      <c r="A30" s="28">
        <f>26</f>
        <v>26</v>
      </c>
      <c r="B30" s="2" t="s">
        <v>337</v>
      </c>
      <c r="C30" s="2" t="s">
        <v>363</v>
      </c>
      <c r="D30" s="3">
        <f>INDEX(DEC31_TOTAL,MATCH(2017,YEAR,0))</f>
        <v>157</v>
      </c>
      <c r="E30" s="3">
        <f>157</f>
        <v>157</v>
      </c>
      <c r="F30">
        <f>0</f>
        <v>0</v>
      </c>
      <c r="G30" t="str">
        <f t="shared" si="1"/>
        <v>PASS</v>
      </c>
    </row>
    <row r="31" spans="1:7" x14ac:dyDescent="0.25">
      <c r="A31" s="28">
        <f>27</f>
        <v>27</v>
      </c>
      <c r="B31" s="2" t="s">
        <v>337</v>
      </c>
      <c r="C31" s="2" t="s">
        <v>364</v>
      </c>
      <c r="D31" s="20">
        <f>KFF_COST_DAY*0.15</f>
        <v>549.6</v>
      </c>
      <c r="E31" s="20">
        <f>549.6</f>
        <v>549.6</v>
      </c>
      <c r="F31">
        <f>0.005</f>
        <v>5.0000000000000001E-3</v>
      </c>
      <c r="G31" t="str">
        <f t="shared" si="1"/>
        <v>PASS</v>
      </c>
    </row>
    <row r="32" spans="1:7" x14ac:dyDescent="0.25">
      <c r="A32" s="28">
        <f>28</f>
        <v>28</v>
      </c>
      <c r="B32" s="2" t="s">
        <v>337</v>
      </c>
      <c r="C32" s="2" t="s">
        <v>365</v>
      </c>
      <c r="D32" s="20">
        <f>KFF_COST_DAY*0.4</f>
        <v>1465.6000000000001</v>
      </c>
      <c r="E32" s="20">
        <f>1465.6</f>
        <v>1465.6</v>
      </c>
      <c r="F32">
        <f>0.005</f>
        <v>5.0000000000000001E-3</v>
      </c>
      <c r="G32" t="str">
        <f t="shared" si="1"/>
        <v>PASS</v>
      </c>
    </row>
    <row r="33" spans="1:7" x14ac:dyDescent="0.25">
      <c r="A33" s="28">
        <f>29</f>
        <v>29</v>
      </c>
      <c r="B33" s="2" t="s">
        <v>337</v>
      </c>
      <c r="C33" s="2" t="s">
        <v>366</v>
      </c>
      <c r="D33" s="20">
        <f>KFF_COST_DAY*0.15</f>
        <v>549.6</v>
      </c>
      <c r="E33" s="20">
        <f>AVOID_COST_LO</f>
        <v>550</v>
      </c>
      <c r="F33">
        <f>5</f>
        <v>5</v>
      </c>
      <c r="G33" t="str">
        <f t="shared" si="1"/>
        <v>PASS</v>
      </c>
    </row>
    <row r="34" spans="1:7" x14ac:dyDescent="0.25">
      <c r="A34" s="28">
        <f>30</f>
        <v>30</v>
      </c>
      <c r="B34" s="2" t="s">
        <v>337</v>
      </c>
      <c r="C34" s="2" t="s">
        <v>367</v>
      </c>
      <c r="D34" s="20">
        <f>KFF_COST_DAY*0.4</f>
        <v>1465.6000000000001</v>
      </c>
      <c r="E34" s="20">
        <f>AVOID_COST_HI</f>
        <v>1470</v>
      </c>
      <c r="F34">
        <f>5</f>
        <v>5</v>
      </c>
      <c r="G34" t="str">
        <f t="shared" si="1"/>
        <v>PASS</v>
      </c>
    </row>
    <row r="35" spans="1:7" x14ac:dyDescent="0.25">
      <c r="A35" s="28">
        <f>31</f>
        <v>31</v>
      </c>
      <c r="B35" s="2" t="s">
        <v>337</v>
      </c>
      <c r="C35" s="2" t="s">
        <v>368</v>
      </c>
      <c r="D35" s="23">
        <f>INDEX(CAP_RATIO,MATCH(2024,YEAR,0))</f>
        <v>11.692200069954529</v>
      </c>
      <c r="E35" s="23">
        <f>11.69</f>
        <v>11.69</v>
      </c>
      <c r="F35">
        <f>0.005</f>
        <v>5.0000000000000001E-3</v>
      </c>
      <c r="G35" t="str">
        <f t="shared" si="1"/>
        <v>PASS</v>
      </c>
    </row>
    <row r="36" spans="1:7" x14ac:dyDescent="0.25">
      <c r="A36" s="28">
        <f>32</f>
        <v>32</v>
      </c>
      <c r="B36" s="2" t="s">
        <v>337</v>
      </c>
      <c r="C36" s="2" t="s">
        <v>369</v>
      </c>
      <c r="D36" s="23">
        <f>CAP_RATIO_STAFF_2024</f>
        <v>7.5316544246239943</v>
      </c>
      <c r="E36" s="23">
        <f>7.53</f>
        <v>7.53</v>
      </c>
      <c r="F36">
        <f>0.005</f>
        <v>5.0000000000000001E-3</v>
      </c>
      <c r="G36" t="str">
        <f t="shared" si="1"/>
        <v>PASS</v>
      </c>
    </row>
    <row r="37" spans="1:7" x14ac:dyDescent="0.25">
      <c r="A37" s="28">
        <f>33</f>
        <v>33</v>
      </c>
      <c r="B37" s="2" t="s">
        <v>337</v>
      </c>
      <c r="C37" s="2" t="s">
        <v>370</v>
      </c>
      <c r="D37" s="3">
        <f>T1_FIN_CHANGE_2021</f>
        <v>13</v>
      </c>
      <c r="E37" s="3">
        <f>13</f>
        <v>13</v>
      </c>
      <c r="F37">
        <f>0</f>
        <v>0</v>
      </c>
      <c r="G37" t="str">
        <f t="shared" si="1"/>
        <v>PASS</v>
      </c>
    </row>
    <row r="38" spans="1:7" x14ac:dyDescent="0.25">
      <c r="A38" s="28">
        <f>34</f>
        <v>34</v>
      </c>
      <c r="B38" s="2" t="s">
        <v>337</v>
      </c>
      <c r="C38" s="2" t="s">
        <v>371</v>
      </c>
      <c r="D38" s="3">
        <f>T1_OTHER_CHANGE_2021</f>
        <v>32</v>
      </c>
      <c r="E38" s="3">
        <f>32</f>
        <v>32</v>
      </c>
      <c r="F38">
        <f>0</f>
        <v>0</v>
      </c>
      <c r="G38" t="str">
        <f t="shared" si="1"/>
        <v>PASS</v>
      </c>
    </row>
    <row r="39" spans="1:7" x14ac:dyDescent="0.25">
      <c r="A39" s="28">
        <f>35</f>
        <v>35</v>
      </c>
      <c r="B39" s="2" t="s">
        <v>337</v>
      </c>
      <c r="C39" s="2" t="s">
        <v>372</v>
      </c>
      <c r="D39" s="3">
        <f>T1_FIN_CHANGE_2024</f>
        <v>15</v>
      </c>
      <c r="E39" s="3">
        <f>15</f>
        <v>15</v>
      </c>
      <c r="F39">
        <f>0</f>
        <v>0</v>
      </c>
      <c r="G39" t="str">
        <f t="shared" si="1"/>
        <v>PASS</v>
      </c>
    </row>
    <row r="40" spans="1:7" x14ac:dyDescent="0.25">
      <c r="A40" s="28">
        <f>36</f>
        <v>36</v>
      </c>
      <c r="B40" s="2" t="s">
        <v>337</v>
      </c>
      <c r="C40" s="2" t="s">
        <v>373</v>
      </c>
      <c r="D40" s="3">
        <f>T1_OTHER_CHANGE_2024</f>
        <v>-33</v>
      </c>
      <c r="E40" s="3">
        <f>-33</f>
        <v>-33</v>
      </c>
      <c r="F40">
        <f>0</f>
        <v>0</v>
      </c>
      <c r="G40" t="str">
        <f t="shared" si="1"/>
        <v>PASS</v>
      </c>
    </row>
    <row r="41" spans="1:7" x14ac:dyDescent="0.25">
      <c r="A41" s="28">
        <f>37</f>
        <v>37</v>
      </c>
      <c r="B41" s="2" t="s">
        <v>337</v>
      </c>
      <c r="C41" s="2" t="s">
        <v>374</v>
      </c>
      <c r="D41" s="24">
        <f>RATE_GROWTH_2024_2026</f>
        <v>1.3840668562237424E-2</v>
      </c>
      <c r="E41" s="24">
        <f>0.0138</f>
        <v>1.38E-2</v>
      </c>
      <c r="F41">
        <f>0.00005</f>
        <v>5.0000000000000002E-5</v>
      </c>
      <c r="G41" t="str">
        <f t="shared" si="1"/>
        <v>PASS</v>
      </c>
    </row>
    <row r="42" spans="1:7" x14ac:dyDescent="0.25">
      <c r="A42" s="28">
        <f>38</f>
        <v>38</v>
      </c>
      <c r="B42" s="2" t="s">
        <v>337</v>
      </c>
      <c r="C42" s="2" t="s">
        <v>375</v>
      </c>
      <c r="D42" s="20">
        <f>INDEX(COST_FWD,3)</f>
        <v>506.080140363</v>
      </c>
      <c r="E42" s="20">
        <f>506.08</f>
        <v>506.08</v>
      </c>
      <c r="F42">
        <f>0.005</f>
        <v>5.0000000000000001E-3</v>
      </c>
      <c r="G42" t="str">
        <f t="shared" si="1"/>
        <v>PASS</v>
      </c>
    </row>
    <row r="43" spans="1:7" x14ac:dyDescent="0.25">
      <c r="A43" s="28">
        <f>39</f>
        <v>39</v>
      </c>
      <c r="B43" s="2" t="s">
        <v>337</v>
      </c>
      <c r="C43" s="2" t="s">
        <v>376</v>
      </c>
      <c r="D43" s="20">
        <f>INDEX(COST_FWD,4)</f>
        <v>522.78078499497894</v>
      </c>
      <c r="E43" s="20">
        <f>522.78</f>
        <v>522.78</v>
      </c>
      <c r="F43">
        <f>0.005</f>
        <v>5.0000000000000001E-3</v>
      </c>
      <c r="G43" t="str">
        <f t="shared" si="1"/>
        <v>PASS</v>
      </c>
    </row>
    <row r="44" spans="1:7" x14ac:dyDescent="0.25">
      <c r="A44" s="28">
        <f>40</f>
        <v>40</v>
      </c>
      <c r="B44" s="2" t="s">
        <v>337</v>
      </c>
      <c r="C44" s="2" t="s">
        <v>377</v>
      </c>
      <c r="D44" s="24">
        <f>INDEX(COND_A_GAP,1)</f>
        <v>2.1380290392819967E-2</v>
      </c>
      <c r="E44" s="24">
        <f>0.0214</f>
        <v>2.1399999999999999E-2</v>
      </c>
      <c r="F44">
        <f>0.00005</f>
        <v>5.0000000000000002E-5</v>
      </c>
      <c r="G44" t="str">
        <f t="shared" si="1"/>
        <v>PASS</v>
      </c>
    </row>
    <row r="45" spans="1:7" x14ac:dyDescent="0.25">
      <c r="A45" s="28">
        <f>41</f>
        <v>41</v>
      </c>
      <c r="B45" s="2" t="s">
        <v>337</v>
      </c>
      <c r="C45" s="2" t="s">
        <v>378</v>
      </c>
      <c r="D45" s="24">
        <f>INDEX(COND_A_GAP,2)</f>
        <v>3.9531015821562265E-2</v>
      </c>
      <c r="E45" s="24">
        <f>0.0395</f>
        <v>3.95E-2</v>
      </c>
      <c r="F45">
        <f>0.00005</f>
        <v>5.0000000000000002E-5</v>
      </c>
      <c r="G45" t="str">
        <f t="shared" si="1"/>
        <v>PASS</v>
      </c>
    </row>
    <row r="47" spans="1:7" x14ac:dyDescent="0.25">
      <c r="A47" s="4" t="s">
        <v>379</v>
      </c>
    </row>
    <row r="48" spans="1:7" x14ac:dyDescent="0.25">
      <c r="A48" s="5" t="s">
        <v>332</v>
      </c>
      <c r="B48" s="5" t="s">
        <v>333</v>
      </c>
      <c r="C48" s="5" t="s">
        <v>334</v>
      </c>
      <c r="D48" s="5" t="s">
        <v>296</v>
      </c>
      <c r="E48" s="5" t="s">
        <v>297</v>
      </c>
      <c r="F48" s="5" t="s">
        <v>335</v>
      </c>
      <c r="G48" s="5" t="s">
        <v>336</v>
      </c>
    </row>
    <row r="49" spans="1:7" x14ac:dyDescent="0.25">
      <c r="A49" s="28">
        <f>1</f>
        <v>1</v>
      </c>
      <c r="B49" s="2" t="s">
        <v>380</v>
      </c>
      <c r="C49" s="2" t="s">
        <v>381</v>
      </c>
      <c r="D49" t="b">
        <f>AND(ABS(INDEX(SHARE_NO_BED,1)+INDEX(SHARE_BEHAVIOR,1)+INDEX(SHARE_SPECIAL_CARE,1)+INDEX(SHARE_FINANCIAL,1)+INDEX(SHARE_GUARDIANSHIP,1)+INDEX(SHARE_PASARR,1)+INDEX(SHARE_OTHER,1)-1)&lt;=0.000001,ABS(INDEX(SHARE_NO_BED,2)+INDEX(SHARE_BEHAVIOR,2)+INDEX(SHARE_SPECIAL_CARE,2)+INDEX(SHARE_FINANCIAL,2)+INDEX(SHARE_GUARDIANSHIP,2)+INDEX(SHARE_PASARR,2)+INDEX(SHARE_OTHER,2)-1)&lt;=0.000001,ABS(INDEX(SHARE_NO_BED,3)+INDEX(SHARE_BEHAVIOR,3)+INDEX(SHARE_SPECIAL_CARE,3)+INDEX(SHARE_FINANCIAL,3)+INDEX(SHARE_GUARDIANSHIP,3)+INDEX(SHARE_PASARR,3)+INDEX(SHARE_OTHER,3)-1)&lt;=0.000001,ABS(INDEX(SHARE_NO_BED,4)+INDEX(SHARE_BEHAVIOR,4)+INDEX(SHARE_SPECIAL_CARE,4)+INDEX(SHARE_FINANCIAL,4)+INDEX(SHARE_GUARDIANSHIP,4)+INDEX(SHARE_PASARR,4)+INDEX(SHARE_OTHER,4)-1)&lt;=0.000001,ABS(INDEX(SHARE_NO_BED,5)+INDEX(SHARE_BEHAVIOR,5)+INDEX(SHARE_SPECIAL_CARE,5)+INDEX(SHARE_FINANCIAL,5)+INDEX(SHARE_GUARDIANSHIP,5)+INDEX(SHARE_PASARR,5)+INDEX(SHARE_OTHER,5)-1)&lt;=0.000001,ABS(INDEX(SHARE_NO_BED,6)+INDEX(SHARE_BEHAVIOR,6)+INDEX(SHARE_SPECIAL_CARE,6)+INDEX(SHARE_FINANCIAL,6)+INDEX(SHARE_GUARDIANSHIP,6)+INDEX(SHARE_PASARR,6)+INDEX(SHARE_OTHER,6)-1)&lt;=0.000001,ABS(INDEX(SHARE_NO_BED,7)+INDEX(SHARE_BEHAVIOR,7)+INDEX(SHARE_SPECIAL_CARE,7)+INDEX(SHARE_FINANCIAL,7)+INDEX(SHARE_GUARDIANSHIP,7)+INDEX(SHARE_PASARR,7)+INDEX(SHARE_OTHER,7)-1)&lt;=0.000001,ABS(INDEX(SHARE_NO_BED,8)+INDEX(SHARE_BEHAVIOR,8)+INDEX(SHARE_SPECIAL_CARE,8)+INDEX(SHARE_FINANCIAL,8)+INDEX(SHARE_GUARDIANSHIP,8)+INDEX(SHARE_PASARR,8)+INDEX(SHARE_OTHER,8)-1)&lt;=0.000001)</f>
        <v>1</v>
      </c>
      <c r="E49" t="b">
        <f>TRUE</f>
        <v>1</v>
      </c>
      <c r="F49" t="str">
        <f>"exact"</f>
        <v>exact</v>
      </c>
      <c r="G49" t="str">
        <f>IF(D49=E49,"PASS","FAIL")</f>
        <v>PASS</v>
      </c>
    </row>
    <row r="50" spans="1:7" x14ac:dyDescent="0.25">
      <c r="A50" s="28">
        <f>2</f>
        <v>2</v>
      </c>
      <c r="B50" s="2" t="s">
        <v>382</v>
      </c>
      <c r="C50" s="2" t="s">
        <v>383</v>
      </c>
      <c r="D50" t="b">
        <f>AND(ABS(INDEX(WITHIN_DAYS,1)+INDEX(EXCESS_DAYS,1)-INDEX(WL_DAYS,1))&lt;=0.000001,ABS(INDEX(WITHIN_DAYS,2)+INDEX(EXCESS_DAYS,2)-INDEX(WL_DAYS,2))&lt;=0.000001,ABS(INDEX(WITHIN_DAYS,3)+INDEX(EXCESS_DAYS,3)-INDEX(WL_DAYS,3))&lt;=0.000001,ABS(INDEX(WITHIN_DAYS,4)+INDEX(EXCESS_DAYS,4)-INDEX(WL_DAYS,4))&lt;=0.000001,ABS(INDEX(WITHIN_DAYS,5)+INDEX(EXCESS_DAYS,5)-INDEX(WL_DAYS,5))&lt;=0.000001,ABS(INDEX(WITHIN_DAYS,6)+INDEX(EXCESS_DAYS,6)-INDEX(WL_DAYS,6))&lt;=0.000001,ABS(INDEX(WITHIN_DAYS,7)+INDEX(EXCESS_DAYS,7)-INDEX(WL_DAYS,7))&lt;=0.000001,ABS(INDEX(WITHIN_DAYS,8)+INDEX(EXCESS_DAYS,8)-INDEX(WL_DAYS,8))&lt;=0.000001)</f>
        <v>1</v>
      </c>
      <c r="E50" t="b">
        <f>TRUE</f>
        <v>1</v>
      </c>
      <c r="F50" t="str">
        <f>"exact"</f>
        <v>exact</v>
      </c>
      <c r="G50" t="str">
        <f>IF(D50=E50,"PASS","FAIL")</f>
        <v>PASS</v>
      </c>
    </row>
    <row r="51" spans="1:7" x14ac:dyDescent="0.25">
      <c r="A51" s="28">
        <f>3</f>
        <v>3</v>
      </c>
      <c r="B51" s="2" t="s">
        <v>384</v>
      </c>
      <c r="C51" s="2" t="s">
        <v>385</v>
      </c>
      <c r="D51" t="b">
        <f>AND(ABS(INDEX(EXCESS_DAYS,1)-MAX(0,INDEX(GAP_PER_PT,1)*INDEX(WL_PATIENTS,1)))&lt;=0.000001,ABS(INDEX(EXCESS_DAYS,2)-MAX(0,INDEX(GAP_PER_PT,2)*INDEX(WL_PATIENTS,2)))&lt;=0.000001,ABS(INDEX(EXCESS_DAYS,3)-MAX(0,INDEX(GAP_PER_PT,3)*INDEX(WL_PATIENTS,3)))&lt;=0.000001,ABS(INDEX(EXCESS_DAYS,4)-MAX(0,INDEX(GAP_PER_PT,4)*INDEX(WL_PATIENTS,4)))&lt;=0.000001,ABS(INDEX(EXCESS_DAYS,5)-MAX(0,INDEX(GAP_PER_PT,5)*INDEX(WL_PATIENTS,5)))&lt;=0.000001,ABS(INDEX(EXCESS_DAYS,6)-MAX(0,INDEX(GAP_PER_PT,6)*INDEX(WL_PATIENTS,6)))&lt;=0.000001,ABS(INDEX(EXCESS_DAYS,7)-MAX(0,INDEX(GAP_PER_PT,7)*INDEX(WL_PATIENTS,7)))&lt;=0.000001,ABS(INDEX(EXCESS_DAYS,8)-MAX(0,INDEX(GAP_PER_PT,8)*INDEX(WL_PATIENTS,8)))&lt;=0.000001)</f>
        <v>1</v>
      </c>
      <c r="E51" t="b">
        <f>TRUE</f>
        <v>1</v>
      </c>
      <c r="F51" t="str">
        <f>"exact"</f>
        <v>exact</v>
      </c>
      <c r="G51" t="str">
        <f>IF(D51=E51,"PASS","FAIL")</f>
        <v>PASS</v>
      </c>
    </row>
    <row r="52" spans="1:7" x14ac:dyDescent="0.25">
      <c r="A52" s="28">
        <f>4</f>
        <v>4</v>
      </c>
      <c r="B52" s="2" t="s">
        <v>386</v>
      </c>
      <c r="C52" s="2" t="s">
        <v>387</v>
      </c>
      <c r="D52" t="b">
        <f>AND(ABS(INDEX(CTY_DAYS,1,1)+INDEX(CTY_DAYS,2,1)+INDEX(CTY_DAYS,3,1)+INDEX(CTY_DAYS,4,1)-INDEX(WL_DAYS,MATCH(2023,YEAR,0)))&lt;=0.000001,ABS(INDEX(CTY_DAYS,1,2)+INDEX(CTY_DAYS,2,2)+INDEX(CTY_DAYS,3,2)+INDEX(CTY_DAYS,4,2)-INDEX(WL_DAYS,MATCH(2024,YEAR,0)))&lt;=0.000001)</f>
        <v>1</v>
      </c>
      <c r="E52" t="b">
        <f>TRUE</f>
        <v>1</v>
      </c>
      <c r="F52" t="str">
        <f>"exact"</f>
        <v>exact</v>
      </c>
      <c r="G52" t="str">
        <f>IF(D52=E52,"PASS","FAIL")</f>
        <v>PASS</v>
      </c>
    </row>
    <row r="53" spans="1:7" x14ac:dyDescent="0.25">
      <c r="A53" s="28">
        <f>5</f>
        <v>5</v>
      </c>
      <c r="B53" s="2" t="s">
        <v>388</v>
      </c>
      <c r="C53" s="2" t="s">
        <v>389</v>
      </c>
      <c r="D53" t="b">
        <f>AND(ABS(INDEX(CTY_DAY_SHARE,1,1)+INDEX(CTY_DAY_SHARE,2,1)+INDEX(CTY_DAY_SHARE,3,1)+INDEX(CTY_DAY_SHARE,4,1)-1)&lt;=0.000001,ABS(INDEX(CTY_DAY_SHARE,1,2)+INDEX(CTY_DAY_SHARE,2,2)+INDEX(CTY_DAY_SHARE,3,2)+INDEX(CTY_DAY_SHARE,4,2)-1)&lt;=0.000001)</f>
        <v>1</v>
      </c>
      <c r="E53" t="b">
        <f>TRUE</f>
        <v>1</v>
      </c>
      <c r="F53" t="str">
        <f>"exact"</f>
        <v>exact</v>
      </c>
      <c r="G53" t="str">
        <f>IF(D53=E53,"PASS","FAIL")</f>
        <v>PASS</v>
      </c>
    </row>
    <row r="54" spans="1:7" x14ac:dyDescent="0.25">
      <c r="A54" s="28">
        <f>6</f>
        <v>6</v>
      </c>
      <c r="B54" s="2" t="s">
        <v>390</v>
      </c>
      <c r="C54" s="2" t="s">
        <v>391</v>
      </c>
      <c r="D54" s="23">
        <f>((INDEX(YEAR,1)-AVERAGE(INDEX(YEAR,1):INDEX(YEAR,7)))*(INDEX(DAYS_PER_PT,1)-AVERAGE(INDEX(DAYS_PER_PT,1):INDEX(DAYS_PER_PT,7)))+(INDEX(YEAR,2)-AVERAGE(INDEX(YEAR,1):INDEX(YEAR,7)))*(INDEX(DAYS_PER_PT,2)-AVERAGE(INDEX(DAYS_PER_PT,1):INDEX(DAYS_PER_PT,7)))+(INDEX(YEAR,3)-AVERAGE(INDEX(YEAR,1):INDEX(YEAR,7)))*(INDEX(DAYS_PER_PT,3)-AVERAGE(INDEX(DAYS_PER_PT,1):INDEX(DAYS_PER_PT,7)))+(INDEX(YEAR,4)-AVERAGE(INDEX(YEAR,1):INDEX(YEAR,7)))*(INDEX(DAYS_PER_PT,4)-AVERAGE(INDEX(DAYS_PER_PT,1):INDEX(DAYS_PER_PT,7)))+(INDEX(YEAR,5)-AVERAGE(INDEX(YEAR,1):INDEX(YEAR,7)))*(INDEX(DAYS_PER_PT,5)-AVERAGE(INDEX(DAYS_PER_PT,1):INDEX(DAYS_PER_PT,7)))+(INDEX(YEAR,6)-AVERAGE(INDEX(YEAR,1):INDEX(YEAR,7)))*(INDEX(DAYS_PER_PT,6)-AVERAGE(INDEX(DAYS_PER_PT,1):INDEX(DAYS_PER_PT,7)))+(INDEX(YEAR,7)-AVERAGE(INDEX(YEAR,1):INDEX(YEAR,7)))*(INDEX(DAYS_PER_PT,7)-AVERAGE(INDEX(DAYS_PER_PT,1):INDEX(DAYS_PER_PT,7))))/((INDEX(YEAR,1)-AVERAGE(INDEX(YEAR,1):INDEX(YEAR,7)))^2+(INDEX(YEAR,2)-AVERAGE(INDEX(YEAR,1):INDEX(YEAR,7)))^2+(INDEX(YEAR,3)-AVERAGE(INDEX(YEAR,1):INDEX(YEAR,7)))^2+(INDEX(YEAR,4)-AVERAGE(INDEX(YEAR,1):INDEX(YEAR,7)))^2+(INDEX(YEAR,5)-AVERAGE(INDEX(YEAR,1):INDEX(YEAR,7)))^2+(INDEX(YEAR,6)-AVERAGE(INDEX(YEAR,1):INDEX(YEAR,7)))^2+(INDEX(YEAR,7)-AVERAGE(INDEX(YEAR,1):INDEX(YEAR,7)))^2)</f>
        <v>1.8814212714379457</v>
      </c>
      <c r="E54" s="23">
        <f>T2_SLOPE</f>
        <v>1.8814212714379457</v>
      </c>
      <c r="F54">
        <f>0.000001</f>
        <v>9.9999999999999995E-7</v>
      </c>
      <c r="G54" t="str">
        <f>IF(AND(ISNUMBER(D54),ISNUMBER(E54)),IF(ABS(D54-E54)&lt;=F54,"PASS","FAIL"),"FAIL")</f>
        <v>PASS</v>
      </c>
    </row>
    <row r="55" spans="1:7" x14ac:dyDescent="0.25">
      <c r="A55" s="28">
        <f>7</f>
        <v>7</v>
      </c>
      <c r="B55" s="2" t="s">
        <v>392</v>
      </c>
      <c r="C55" s="2" t="s">
        <v>393</v>
      </c>
      <c r="D55" s="3">
        <f>IF(AND(INDEX(REASON_NO_BED,1)&gt;INDEX(REASON_BEHAVIOR,1),INDEX(REASON_NO_BED,1)&gt;INDEX(REASON_SPECIAL_CARE,1),INDEX(REASON_NO_BED,1)&gt;INDEX(REASON_FINANCIAL,1),INDEX(REASON_NO_BED,1)&gt;INDEX(REASON_GUARDIANSHIP,1),INDEX(REASON_NO_BED,1)&gt;INDEX(REASON_PASARR,1),INDEX(REASON_NO_BED,1)&gt;INDEX(REASON_OTHER,1)),1,0)+IF(AND(INDEX(REASON_NO_BED,2)&gt;INDEX(REASON_BEHAVIOR,2),INDEX(REASON_NO_BED,2)&gt;INDEX(REASON_SPECIAL_CARE,2),INDEX(REASON_NO_BED,2)&gt;INDEX(REASON_FINANCIAL,2),INDEX(REASON_NO_BED,2)&gt;INDEX(REASON_GUARDIANSHIP,2),INDEX(REASON_NO_BED,2)&gt;INDEX(REASON_PASARR,2),INDEX(REASON_NO_BED,2)&gt;INDEX(REASON_OTHER,2)),1,0)+IF(AND(INDEX(REASON_NO_BED,3)&gt;INDEX(REASON_BEHAVIOR,3),INDEX(REASON_NO_BED,3)&gt;INDEX(REASON_SPECIAL_CARE,3),INDEX(REASON_NO_BED,3)&gt;INDEX(REASON_FINANCIAL,3),INDEX(REASON_NO_BED,3)&gt;INDEX(REASON_GUARDIANSHIP,3),INDEX(REASON_NO_BED,3)&gt;INDEX(REASON_PASARR,3),INDEX(REASON_NO_BED,3)&gt;INDEX(REASON_OTHER,3)),1,0)+IF(AND(INDEX(REASON_NO_BED,4)&gt;INDEX(REASON_BEHAVIOR,4),INDEX(REASON_NO_BED,4)&gt;INDEX(REASON_SPECIAL_CARE,4),INDEX(REASON_NO_BED,4)&gt;INDEX(REASON_FINANCIAL,4),INDEX(REASON_NO_BED,4)&gt;INDEX(REASON_GUARDIANSHIP,4),INDEX(REASON_NO_BED,4)&gt;INDEX(REASON_PASARR,4),INDEX(REASON_NO_BED,4)&gt;INDEX(REASON_OTHER,4)),1,0)+IF(AND(INDEX(REASON_NO_BED,5)&gt;INDEX(REASON_BEHAVIOR,5),INDEX(REASON_NO_BED,5)&gt;INDEX(REASON_SPECIAL_CARE,5),INDEX(REASON_NO_BED,5)&gt;INDEX(REASON_FINANCIAL,5),INDEX(REASON_NO_BED,5)&gt;INDEX(REASON_GUARDIANSHIP,5),INDEX(REASON_NO_BED,5)&gt;INDEX(REASON_PASARR,5),INDEX(REASON_NO_BED,5)&gt;INDEX(REASON_OTHER,5)),1,0)+IF(AND(INDEX(REASON_NO_BED,6)&gt;INDEX(REASON_BEHAVIOR,6),INDEX(REASON_NO_BED,6)&gt;INDEX(REASON_SPECIAL_CARE,6),INDEX(REASON_NO_BED,6)&gt;INDEX(REASON_FINANCIAL,6),INDEX(REASON_NO_BED,6)&gt;INDEX(REASON_GUARDIANSHIP,6),INDEX(REASON_NO_BED,6)&gt;INDEX(REASON_PASARR,6),INDEX(REASON_NO_BED,6)&gt;INDEX(REASON_OTHER,6)),1,0)+IF(AND(INDEX(REASON_NO_BED,7)&gt;INDEX(REASON_BEHAVIOR,7),INDEX(REASON_NO_BED,7)&gt;INDEX(REASON_SPECIAL_CARE,7),INDEX(REASON_NO_BED,7)&gt;INDEX(REASON_FINANCIAL,7),INDEX(REASON_NO_BED,7)&gt;INDEX(REASON_GUARDIANSHIP,7),INDEX(REASON_NO_BED,7)&gt;INDEX(REASON_PASARR,7),INDEX(REASON_NO_BED,7)&gt;INDEX(REASON_OTHER,7)),1,0)+IF(AND(INDEX(REASON_NO_BED,8)&gt;INDEX(REASON_BEHAVIOR,8),INDEX(REASON_NO_BED,8)&gt;INDEX(REASON_SPECIAL_CARE,8),INDEX(REASON_NO_BED,8)&gt;INDEX(REASON_FINANCIAL,8),INDEX(REASON_NO_BED,8)&gt;INDEX(REASON_GUARDIANSHIP,8),INDEX(REASON_NO_BED,8)&gt;INDEX(REASON_PASARR,8),INDEX(REASON_NO_BED,8)&gt;INDEX(REASON_OTHER,8)),1,0)</f>
        <v>5</v>
      </c>
      <c r="E55" s="3">
        <f>T3_YEARS</f>
        <v>5</v>
      </c>
      <c r="F55">
        <f>0</f>
        <v>0</v>
      </c>
      <c r="G55" t="str">
        <f>IF(AND(ISNUMBER(D55),ISNUMBER(E55)),IF(ABS(D55-E55)&lt;=F55,"PASS","FAIL"),"FAIL")</f>
        <v>PASS</v>
      </c>
    </row>
    <row r="56" spans="1:7" x14ac:dyDescent="0.25">
      <c r="A56" s="28">
        <f>8</f>
        <v>8</v>
      </c>
      <c r="B56" s="2" t="s">
        <v>394</v>
      </c>
      <c r="C56" s="2" t="s">
        <v>395</v>
      </c>
      <c r="D56" t="b">
        <f>AND(INDEX(MEETS_BENCH,1)=(INDEX(GAP_PER_PT,1)&lt;=0),INDEX(MEETS_BENCH,2)=(INDEX(GAP_PER_PT,2)&lt;=0),INDEX(MEETS_BENCH,3)=(INDEX(GAP_PER_PT,3)&lt;=0),INDEX(MEETS_BENCH,4)=(INDEX(GAP_PER_PT,4)&lt;=0),INDEX(MEETS_BENCH,5)=(INDEX(GAP_PER_PT,5)&lt;=0),INDEX(MEETS_BENCH,6)=(INDEX(GAP_PER_PT,6)&lt;=0),INDEX(MEETS_BENCH,7)=(INDEX(GAP_PER_PT,7)&lt;=0),INDEX(MEETS_BENCH,8)=(INDEX(GAP_PER_PT,8)&lt;=0))</f>
        <v>1</v>
      </c>
      <c r="E56" t="b">
        <f>TRUE</f>
        <v>1</v>
      </c>
      <c r="F56" t="str">
        <f>"exact"</f>
        <v>exact</v>
      </c>
      <c r="G56" t="str">
        <f>IF(D56=E56,"PASS","FAIL")</f>
        <v>PASS</v>
      </c>
    </row>
    <row r="57" spans="1:7" x14ac:dyDescent="0.25">
      <c r="A57" s="28">
        <f>9</f>
        <v>9</v>
      </c>
      <c r="B57" s="2" t="s">
        <v>396</v>
      </c>
      <c r="C57" s="2" t="s">
        <v>397</v>
      </c>
      <c r="D57" s="3">
        <f>COUNTIF(WorkedExample!E29:E57,"match")</f>
        <v>29</v>
      </c>
      <c r="E57" s="3">
        <f>ROWS(WorkedExample!E29:E57)</f>
        <v>29</v>
      </c>
      <c r="F57">
        <f>0</f>
        <v>0</v>
      </c>
      <c r="G57" t="str">
        <f>IF(AND(ISNUMBER(D57),ISNUMBER(E57)),IF(ABS(D57-E57)&lt;=F57,"PASS","FAIL"),"FAIL")</f>
        <v>PASS</v>
      </c>
    </row>
    <row r="59" spans="1:7" x14ac:dyDescent="0.25">
      <c r="A59" s="4" t="s">
        <v>398</v>
      </c>
    </row>
    <row r="60" spans="1:7" x14ac:dyDescent="0.25">
      <c r="A60" s="5" t="s">
        <v>332</v>
      </c>
      <c r="B60" s="5" t="s">
        <v>333</v>
      </c>
      <c r="C60" s="5" t="s">
        <v>334</v>
      </c>
      <c r="D60" s="5" t="s">
        <v>296</v>
      </c>
      <c r="E60" s="5" t="s">
        <v>297</v>
      </c>
      <c r="F60" s="5" t="s">
        <v>335</v>
      </c>
      <c r="G60" s="5" t="s">
        <v>336</v>
      </c>
    </row>
    <row r="61" spans="1:7" x14ac:dyDescent="0.25">
      <c r="A61" s="28">
        <f>1</f>
        <v>1</v>
      </c>
      <c r="B61" s="2" t="s">
        <v>399</v>
      </c>
      <c r="C61" s="2" t="s">
        <v>400</v>
      </c>
      <c r="D61" s="3">
        <f>SUMPRODUCT(--ISERROR(Inputs!A1:S84))</f>
        <v>0</v>
      </c>
      <c r="E61" s="3">
        <f>0</f>
        <v>0</v>
      </c>
      <c r="F61">
        <f>0</f>
        <v>0</v>
      </c>
      <c r="G61" t="str">
        <f t="shared" ref="G61:G70" si="2">IF(AND(ISNUMBER(D61),ISNUMBER(E61)),IF(ABS(D61-E61)&lt;=F61,"PASS","FAIL"),"FAIL")</f>
        <v>PASS</v>
      </c>
    </row>
    <row r="62" spans="1:7" x14ac:dyDescent="0.25">
      <c r="A62" s="28">
        <f>2</f>
        <v>2</v>
      </c>
      <c r="B62" s="2" t="s">
        <v>399</v>
      </c>
      <c r="C62" s="2" t="s">
        <v>401</v>
      </c>
      <c r="D62" s="3">
        <f>SUMPRODUCT(--ISERROR(Waitlist!A1:V19))</f>
        <v>0</v>
      </c>
      <c r="E62" s="3">
        <f>0</f>
        <v>0</v>
      </c>
      <c r="F62">
        <f>0</f>
        <v>0</v>
      </c>
      <c r="G62" t="str">
        <f t="shared" si="2"/>
        <v>PASS</v>
      </c>
    </row>
    <row r="63" spans="1:7" x14ac:dyDescent="0.25">
      <c r="A63" s="28">
        <f>3</f>
        <v>3</v>
      </c>
      <c r="B63" s="2" t="s">
        <v>399</v>
      </c>
      <c r="C63" s="2" t="s">
        <v>402</v>
      </c>
      <c r="D63" s="3">
        <f>SUMPRODUCT(--ISERROR(Cost!A1:F19))</f>
        <v>0</v>
      </c>
      <c r="E63" s="3">
        <f>0</f>
        <v>0</v>
      </c>
      <c r="F63">
        <f>0</f>
        <v>0</v>
      </c>
      <c r="G63" t="str">
        <f t="shared" si="2"/>
        <v>PASS</v>
      </c>
    </row>
    <row r="64" spans="1:7" x14ac:dyDescent="0.25">
      <c r="A64" s="28">
        <f>4</f>
        <v>4</v>
      </c>
      <c r="B64" s="2" t="s">
        <v>399</v>
      </c>
      <c r="C64" s="2" t="s">
        <v>403</v>
      </c>
      <c r="D64" s="3">
        <f>SUMPRODUCT(--ISERROR(Tests!A1:F41))</f>
        <v>0</v>
      </c>
      <c r="E64" s="3">
        <f>0</f>
        <v>0</v>
      </c>
      <c r="F64">
        <f>0</f>
        <v>0</v>
      </c>
      <c r="G64" t="str">
        <f t="shared" si="2"/>
        <v>PASS</v>
      </c>
    </row>
    <row r="65" spans="1:7" x14ac:dyDescent="0.25">
      <c r="A65" s="28">
        <f>5</f>
        <v>5</v>
      </c>
      <c r="B65" s="2" t="s">
        <v>399</v>
      </c>
      <c r="C65" s="2" t="s">
        <v>404</v>
      </c>
      <c r="D65" s="3">
        <f>SUMPRODUCT(--ISERROR(County!A1:F12))</f>
        <v>0</v>
      </c>
      <c r="E65" s="3">
        <f>0</f>
        <v>0</v>
      </c>
      <c r="F65">
        <f>0</f>
        <v>0</v>
      </c>
      <c r="G65" t="str">
        <f t="shared" si="2"/>
        <v>PASS</v>
      </c>
    </row>
    <row r="66" spans="1:7" x14ac:dyDescent="0.25">
      <c r="A66" s="28">
        <f>6</f>
        <v>6</v>
      </c>
      <c r="B66" s="2" t="s">
        <v>399</v>
      </c>
      <c r="C66" s="2" t="s">
        <v>405</v>
      </c>
      <c r="D66" s="3">
        <f>SUMPRODUCT(--ISERROR(Capacity!A1:E22))</f>
        <v>0</v>
      </c>
      <c r="E66" s="3">
        <f>0</f>
        <v>0</v>
      </c>
      <c r="F66">
        <f>0</f>
        <v>0</v>
      </c>
      <c r="G66" t="str">
        <f t="shared" si="2"/>
        <v>PASS</v>
      </c>
    </row>
    <row r="67" spans="1:7" x14ac:dyDescent="0.25">
      <c r="A67" s="28">
        <f>7</f>
        <v>7</v>
      </c>
      <c r="B67" s="2" t="s">
        <v>399</v>
      </c>
      <c r="C67" s="2" t="s">
        <v>406</v>
      </c>
      <c r="D67" s="3">
        <f>SUMPRODUCT(--ISERROR(Conditions!A1:F17))</f>
        <v>0</v>
      </c>
      <c r="E67" s="3">
        <f>0</f>
        <v>0</v>
      </c>
      <c r="F67">
        <f>0</f>
        <v>0</v>
      </c>
      <c r="G67" t="str">
        <f t="shared" si="2"/>
        <v>PASS</v>
      </c>
    </row>
    <row r="68" spans="1:7" x14ac:dyDescent="0.25">
      <c r="A68" s="28">
        <f>8</f>
        <v>8</v>
      </c>
      <c r="B68" s="2" t="s">
        <v>399</v>
      </c>
      <c r="C68" s="2" t="s">
        <v>407</v>
      </c>
      <c r="D68" s="3">
        <f>SUMPRODUCT(--ISERROR(FigureData!A1:J88))</f>
        <v>0</v>
      </c>
      <c r="E68" s="3">
        <f>0</f>
        <v>0</v>
      </c>
      <c r="F68">
        <f>0</f>
        <v>0</v>
      </c>
      <c r="G68" t="str">
        <f t="shared" si="2"/>
        <v>PASS</v>
      </c>
    </row>
    <row r="69" spans="1:7" x14ac:dyDescent="0.25">
      <c r="A69" s="28">
        <f>9</f>
        <v>9</v>
      </c>
      <c r="B69" s="2" t="s">
        <v>399</v>
      </c>
      <c r="C69" s="2" t="s">
        <v>408</v>
      </c>
      <c r="D69" s="3">
        <f>SUMPRODUCT(--ISERROR(WorkedExample!A1:G62))</f>
        <v>0</v>
      </c>
      <c r="E69" s="3">
        <f>0</f>
        <v>0</v>
      </c>
      <c r="F69">
        <f>0</f>
        <v>0</v>
      </c>
      <c r="G69" t="str">
        <f t="shared" si="2"/>
        <v>PASS</v>
      </c>
    </row>
    <row r="70" spans="1:7" x14ac:dyDescent="0.25">
      <c r="A70" s="28">
        <f>10</f>
        <v>10</v>
      </c>
      <c r="B70" s="2" t="s">
        <v>399</v>
      </c>
      <c r="C70" s="2" t="s">
        <v>409</v>
      </c>
      <c r="D70" s="3">
        <f>SUMPRODUCT(--ISERROR(A1:G69))</f>
        <v>0</v>
      </c>
      <c r="E70" s="3">
        <f>0</f>
        <v>0</v>
      </c>
      <c r="F70">
        <f>0</f>
        <v>0</v>
      </c>
      <c r="G70" t="str">
        <f t="shared" si="2"/>
        <v>PASS</v>
      </c>
    </row>
    <row r="72" spans="1:7" x14ac:dyDescent="0.25">
      <c r="C72" s="2" t="s">
        <v>410</v>
      </c>
      <c r="D72" s="4" t="str">
        <f>IF(AND(COUNTIF(G49:G57,"FAIL")+COUNTIF(G61:G70,"FAIL")=0,COUNTIF(G49:G57,"PASS")+COUNTIF(G61:G70,"PASS")=19),"ALL PASS","REVIEW")</f>
        <v>ALL PASS</v>
      </c>
    </row>
    <row r="73" spans="1:7" x14ac:dyDescent="0.25">
      <c r="C73" s="2" t="s">
        <v>411</v>
      </c>
      <c r="D73" s="3">
        <f>COUNTIF(G5:G45,"PASS")</f>
        <v>41</v>
      </c>
      <c r="E73" t="str">
        <f>"of "&amp;ROWS(G5:G45)</f>
        <v>of 41</v>
      </c>
    </row>
    <row r="75" spans="1:7" x14ac:dyDescent="0.25">
      <c r="A75" s="14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87</vt:i4>
      </vt:variant>
    </vt:vector>
  </HeadingPairs>
  <TitlesOfParts>
    <vt:vector size="97" baseType="lpstr">
      <vt:lpstr>Inputs</vt:lpstr>
      <vt:lpstr>Waitlist</vt:lpstr>
      <vt:lpstr>Cost</vt:lpstr>
      <vt:lpstr>Tests</vt:lpstr>
      <vt:lpstr>County</vt:lpstr>
      <vt:lpstr>Capacity</vt:lpstr>
      <vt:lpstr>Conditions</vt:lpstr>
      <vt:lpstr>FigureData</vt:lpstr>
      <vt:lpstr>WorkedExample</vt:lpstr>
      <vt:lpstr>Checks</vt:lpstr>
      <vt:lpstr>AVOID_COST_HI</vt:lpstr>
      <vt:lpstr>AVOID_COST_LO</vt:lpstr>
      <vt:lpstr>BENCH_DAYS</vt:lpstr>
      <vt:lpstr>BENCH_TOTAL</vt:lpstr>
      <vt:lpstr>CAP_RATIO</vt:lpstr>
      <vt:lpstr>CAP_RATIO_STAFF_2024</vt:lpstr>
      <vt:lpstr>COND_A_GAP</vt:lpstr>
      <vt:lpstr>COST_FWD</vt:lpstr>
      <vt:lpstr>COST_FY</vt:lpstr>
      <vt:lpstr>COUNTY</vt:lpstr>
      <vt:lpstr>COVID_FLAG</vt:lpstr>
      <vt:lpstr>COVID_YEARS</vt:lpstr>
      <vt:lpstr>CTY_DAY_SHARE</vt:lpstr>
      <vt:lpstr>CTY_DAYS</vt:lpstr>
      <vt:lpstr>CTY_DAYS_PER_PT</vt:lpstr>
      <vt:lpstr>CTY_PATIENTS</vt:lpstr>
      <vt:lpstr>DATE_ADJ_2021</vt:lpstr>
      <vt:lpstr>DATE_RESET_2024</vt:lpstr>
      <vt:lpstr>DAYS_IN_YEAR</vt:lpstr>
      <vt:lpstr>DAYS_PER_PT</vt:lpstr>
      <vt:lpstr>DEC31_NF</vt:lpstr>
      <vt:lpstr>DEC31_TOTAL</vt:lpstr>
      <vt:lpstr>EXCESS_BEDS</vt:lpstr>
      <vt:lpstr>EXCESS_COST_HI</vt:lpstr>
      <vt:lpstr>EXCESS_COST_HI_NOW</vt:lpstr>
      <vt:lpstr>EXCESS_COST_LO</vt:lpstr>
      <vt:lpstr>EXCESS_COST_LO_NOW</vt:lpstr>
      <vt:lpstr>EXCESS_DAYS</vt:lpstr>
      <vt:lpstr>EXCESS_SHARE</vt:lpstr>
      <vt:lpstr>FLAG_2017_INCOMPLETE</vt:lpstr>
      <vt:lpstr>GAP_PER_PT</vt:lpstr>
      <vt:lpstr>KFF_COST_DAY</vt:lpstr>
      <vt:lpstr>LARGEST_REASON</vt:lpstr>
      <vt:lpstr>LTC_UNSTAFFED</vt:lpstr>
      <vt:lpstr>LTC_UNSTAFFED_STAFF_2024</vt:lpstr>
      <vt:lpstr>MB_GROSS</vt:lpstr>
      <vt:lpstr>MEETS_BENCH</vt:lpstr>
      <vt:lpstr>NET_COST_HI</vt:lpstr>
      <vt:lpstr>NET_COST_HI_NOW</vt:lpstr>
      <vt:lpstr>NET_COST_LO</vt:lpstr>
      <vt:lpstr>NET_COST_LO_NOW</vt:lpstr>
      <vt:lpstr>NF_COST_ALL</vt:lpstr>
      <vt:lpstr>NF_COST_MCD_HEAVY</vt:lpstr>
      <vt:lpstr>NF_RATE_MEDIAN</vt:lpstr>
      <vt:lpstr>NF_SHARE_DEC31</vt:lpstr>
      <vt:lpstr>RATE_DATE</vt:lpstr>
      <vt:lpstr>RATE_FWD</vt:lpstr>
      <vt:lpstr>RATE_GROWTH_2024_2026</vt:lpstr>
      <vt:lpstr>REASON_BEHAVIOR</vt:lpstr>
      <vt:lpstr>REASON_FINANCIAL</vt:lpstr>
      <vt:lpstr>REASON_GUARDIANSHIP</vt:lpstr>
      <vt:lpstr>REASON_NO_BED</vt:lpstr>
      <vt:lpstr>REASON_OTHER</vt:lpstr>
      <vt:lpstr>REASON_PASARR</vt:lpstr>
      <vt:lpstr>REASON_SPECIAL_CARE</vt:lpstr>
      <vt:lpstr>REASON_SUM</vt:lpstr>
      <vt:lpstr>SHARE_BEHAVIOR</vt:lpstr>
      <vt:lpstr>SHARE_FINANCIAL</vt:lpstr>
      <vt:lpstr>SHARE_GUARDIANSHIP</vt:lpstr>
      <vt:lpstr>SHARE_NO_BED</vt:lpstr>
      <vt:lpstr>SHARE_OTHER</vt:lpstr>
      <vt:lpstr>SHARE_PASARR</vt:lpstr>
      <vt:lpstr>SHARE_SPECIAL_CARE</vt:lpstr>
      <vt:lpstr>T1_DROP_2021</vt:lpstr>
      <vt:lpstr>T1_DROP_2024</vt:lpstr>
      <vt:lpstr>T1_FIN_CHANGE_2021</vt:lpstr>
      <vt:lpstr>T1_FIN_CHANGE_2024</vt:lpstr>
      <vt:lpstr>T1_MIN_DROP_PTS</vt:lpstr>
      <vt:lpstr>T1_OTHER_CHANGE_2021</vt:lpstr>
      <vt:lpstr>T1_OTHER_CHANGE_2024</vt:lpstr>
      <vt:lpstr>T1_PASS_2021</vt:lpstr>
      <vt:lpstr>T1_PASS_2024</vt:lpstr>
      <vt:lpstr>T1_VERDICT</vt:lpstr>
      <vt:lpstr>T2_SLOPE</vt:lpstr>
      <vt:lpstr>T2_VERDICT</vt:lpstr>
      <vt:lpstr>T3_VERDICT</vt:lpstr>
      <vt:lpstr>T3_YEARS</vt:lpstr>
      <vt:lpstr>WITHIN_DAYS</vt:lpstr>
      <vt:lpstr>WL_DAYS</vt:lpstr>
      <vt:lpstr>WL_DAYS_CHANGE_2024</vt:lpstr>
      <vt:lpstr>WL_PATIENTS</vt:lpstr>
      <vt:lpstr>WL_RATE_2026</vt:lpstr>
      <vt:lpstr>WL_RATE_AVG</vt:lpstr>
      <vt:lpstr>WL_RATE_JAN</vt:lpstr>
      <vt:lpstr>WL_RATE_JUL</vt:lpstr>
      <vt:lpstr>WL_RATE_LEAHI_2026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Micah Kosasa</cp:lastModifiedBy>
  <dcterms:created xsi:type="dcterms:W3CDTF">2026-09-30T07:55:14Z</dcterms:created>
  <dcterms:modified xsi:type="dcterms:W3CDTF">2026-09-30T08:19:17Z</dcterms:modified>
</cp:coreProperties>
</file>