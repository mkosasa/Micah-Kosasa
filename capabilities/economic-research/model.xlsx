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Tests" sheetId="4" state="visible" r:id="rId4"/>
    <sheet xmlns:r="http://schemas.openxmlformats.org/officeDocument/2006/relationships" name="County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Conditions" sheetId="7" state="visible" r:id="rId7"/>
    <sheet xmlns:r="http://schemas.openxmlformats.org/officeDocument/2006/relationships" name="FigureData" sheetId="8" state="visible" r:id="rId8"/>
    <sheet xmlns:r="http://schemas.openxmlformats.org/officeDocument/2006/relationships" name="WorkedExample" sheetId="9" state="visible" r:id="rId9"/>
    <sheet xmlns:r="http://schemas.openxmlformats.org/officeDocument/2006/relationships" name="Checks" sheetId="10" state="visible" r:id="rId10"/>
  </sheets>
  <definedNames>
    <definedName name="LTC_UNSTAFFED_STAFF_2024">'Inputs'!$B$6</definedName>
    <definedName name="BENCH_DAYS">'Inputs'!$B$7</definedName>
    <definedName name="KFF_COST_DAY">'Inputs'!$B$8</definedName>
    <definedName name="AVOID_COST_LO">'Inputs'!$B$9</definedName>
    <definedName name="AVOID_COST_HI">'Inputs'!$B$10</definedName>
    <definedName name="WL_RATE_2026">'Inputs'!$B$11</definedName>
    <definedName name="WL_RATE_LEAHI_2026">'Inputs'!$B$12</definedName>
    <definedName name="DATE_ADJ_2021">'Inputs'!$B$13</definedName>
    <definedName name="DATE_RESET_2024">'Inputs'!$B$14</definedName>
    <definedName name="T1_MIN_DROP_PTS">'Inputs'!$B$15</definedName>
    <definedName name="COVID_YEARS">'Inputs'!$B$16:$B$17</definedName>
    <definedName name="YEAR">'Inputs'!$A$22:$A$29</definedName>
    <definedName name="WL_PATIENTS">'Inputs'!$B$22:$B$29</definedName>
    <definedName name="WL_DAYS">'Inputs'!$C$22:$C$29</definedName>
    <definedName name="REASON_NO_BED">'Inputs'!$D$22:$D$29</definedName>
    <definedName name="REASON_BEHAVIOR">'Inputs'!$E$22:$E$29</definedName>
    <definedName name="REASON_SPECIAL_CARE">'Inputs'!$F$22:$F$29</definedName>
    <definedName name="REASON_FINANCIAL">'Inputs'!$G$22:$G$29</definedName>
    <definedName name="REASON_GUARDIANSHIP">'Inputs'!$H$22:$H$29</definedName>
    <definedName name="REASON_PASARR">'Inputs'!$I$22:$I$29</definedName>
    <definedName name="REASON_OTHER">'Inputs'!$J$22:$J$29</definedName>
    <definedName name="DEC31_TOTAL">'Inputs'!$K$22:$K$29</definedName>
    <definedName name="DEC31_NF">'Inputs'!$L$22:$L$29</definedName>
    <definedName name="LTC_UNSTAFFED">'Inputs'!$M$22:$M$29</definedName>
    <definedName name="WL_RATE_JAN">'Inputs'!$N$22:$N$29</definedName>
    <definedName name="WL_RATE_JUL">'Inputs'!$O$22:$O$29</definedName>
    <definedName name="COUNTY">'Inputs'!$A$34:$A$37</definedName>
    <definedName name="CTY_PATIENTS">'Inputs'!$B$34:$C$37</definedName>
    <definedName name="CTY_DAYS">'Inputs'!$D$34:$E$37</definedName>
    <definedName name="RATE_DATE">'Inputs'!$A$41:$A$57</definedName>
    <definedName name="NF_RATE_MEDIAN">'Inputs'!$C$41:$C$57</definedName>
    <definedName name="COST_FY">'Inputs'!$A$61:$A$73</definedName>
    <definedName name="NF_COST_ALL">'Inputs'!$B$61:$B$73</definedName>
    <definedName name="NF_COST_MCD_HEAVY">'Inputs'!$C$61:$C$73</definedName>
    <definedName name="MB_GROSS">'Inputs'!$B$78:$B$81</definedName>
    <definedName name="DAYS_PER_PT">'Waitlist'!$B$4:$B$11</definedName>
    <definedName name="BENCH_TOTAL">'Waitlist'!$C$4:$C$11</definedName>
    <definedName name="GAP_PER_PT">'Waitlist'!$D$4:$D$11</definedName>
    <definedName name="EXCESS_DAYS">'Waitlist'!$F$4:$F$11</definedName>
    <definedName name="WITHIN_DAYS">'Waitlist'!$G$4:$G$11</definedName>
    <definedName name="EXCESS_SHARE">'Waitlist'!$H$4:$H$11</definedName>
    <definedName name="DAYS_IN_YEAR">'Waitlist'!$I$4:$I$11</definedName>
    <definedName name="EXCESS_BEDS">'Waitlist'!$J$4:$J$11</definedName>
    <definedName name="MEETS_BENCH">'Waitlist'!$K$4:$K$11</definedName>
    <definedName name="REASON_SUM">'Waitlist'!$L$4:$L$11</definedName>
    <definedName name="SHARE_NO_BED">'Waitlist'!$M$4:$M$11</definedName>
    <definedName name="SHARE_BEHAVIOR">'Waitlist'!$N$4:$N$11</definedName>
    <definedName name="SHARE_SPECIAL_CARE">'Waitlist'!$O$4:$O$11</definedName>
    <definedName name="SHARE_FINANCIAL">'Waitlist'!$P$4:$P$11</definedName>
    <definedName name="SHARE_GUARDIANSHIP">'Waitlist'!$Q$4:$Q$11</definedName>
    <definedName name="SHARE_PASARR">'Waitlist'!$R$4:$R$11</definedName>
    <definedName name="SHARE_OTHER">'Waitlist'!$S$4:$S$11</definedName>
    <definedName name="COVID_FLAG">'Waitlist'!$U$4:$U$11</definedName>
    <definedName name="FLAG_2017_INCOMPLETE">'Waitlist'!$B$14</definedName>
    <definedName name="WL_RATE_AVG">'Cost'!$C$7:$D$7</definedName>
    <definedName name="NET_COST_LO">'Cost'!$C$8:$D$8</definedName>
    <definedName name="NET_COST_LO_NOW">'Cost'!$E$8</definedName>
    <definedName name="NET_COST_HI">'Cost'!$C$9:$D$9</definedName>
    <definedName name="NET_COST_HI_NOW">'Cost'!$E$9</definedName>
    <definedName name="EXCESS_COST_LO">'Cost'!$C$10:$D$10</definedName>
    <definedName name="EXCESS_COST_LO_NOW">'Cost'!$E$10</definedName>
    <definedName name="EXCESS_COST_HI">'Cost'!$C$11:$D$11</definedName>
    <definedName name="EXCESS_COST_HI_NOW">'Cost'!$E$11</definedName>
    <definedName name="NF_SHARE_DEC31">'Cost'!$C$12:$D$12</definedName>
    <definedName name="CEIL_PER_PT_LO">'Cost'!$E$13</definedName>
    <definedName name="CEIL_PER_PT_HI">'Cost'!$E$14</definedName>
    <definedName name="WL_DAYS_CHANGE_2024">'Cost'!$C$16</definedName>
    <definedName name="T1_DROP_2021">'Tests'!$B$6</definedName>
    <definedName name="T1_PASS_2021">'Tests'!$B$7</definedName>
    <definedName name="T1_DROP_2024">'Tests'!$B$10</definedName>
    <definedName name="T1_PASS_2024">'Tests'!$B$11</definedName>
    <definedName name="T1_VERDICT">'Tests'!$B$12</definedName>
    <definedName name="T2_SLOPE">'Tests'!$B$15</definedName>
    <definedName name="T2_VERDICT">'Tests'!$B$16</definedName>
    <definedName name="LARGEST_REASON">'Tests'!$B$19:$B$26</definedName>
    <definedName name="T3_YEARS">'Tests'!$B$27</definedName>
    <definedName name="T3_VERDICT">'Tests'!$B$28</definedName>
    <definedName name="T1_FIN_CHANGE_2021">'Tests'!$B$34</definedName>
    <definedName name="T1_OTHER_CHANGE_2021">'Tests'!$B$35</definedName>
    <definedName name="T1_FIN_CHANGE_2024">'Tests'!$B$36</definedName>
    <definedName name="T1_OTHER_CHANGE_2024">'Tests'!$B$37</definedName>
    <definedName name="CTY_DAYS_PER_PT">'County'!$B$4:$C$7</definedName>
    <definedName name="CTY_DAY_SHARE">'County'!$D$4:$E$7</definedName>
    <definedName name="CAP_RATIO">'Capacity'!$D$4:$D$11</definedName>
    <definedName name="CAP_RATIO_STAFF_2024">'Capacity'!$D$14</definedName>
    <definedName name="COST_FWD">'Conditions'!$C$5:$C$8</definedName>
    <definedName name="RATE_FWD">'Conditions'!$D$7:$D$8</definedName>
    <definedName name="COND_A_GAP">'Conditions'!$E$7:$E$8</definedName>
    <definedName name="RATE_GROWTH_2024_2026">'Conditions'!$B$10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$#,##0"/>
    <numFmt numFmtId="166" formatCode="$#,##0.00"/>
    <numFmt numFmtId="167" formatCode="yyyy-mm"/>
    <numFmt numFmtId="168" formatCode="0.0%"/>
    <numFmt numFmtId="169" formatCode="0.0"/>
    <numFmt numFmtId="170" formatCode="+#,##0;-#,##0;0"/>
    <numFmt numFmtId="171" formatCode="$#,##0.000"/>
    <numFmt numFmtId="172" formatCode="yyyy\-mm\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4" borderId="0" pivotButton="0" quotePrefix="0" xfId="0"/>
    <xf numFmtId="0" fontId="0" fillId="0" borderId="0" pivotButton="0" quotePrefix="0" xfId="0"/>
    <xf numFmtId="0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1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" fontId="2" fillId="3" borderId="0" pivotButton="0" quotePrefix="0" xfId="0"/>
    <xf numFmtId="0" fontId="4" fillId="0" borderId="0" pivotButton="0" quotePrefix="0" xfId="0"/>
    <xf numFmtId="167" fontId="2" fillId="3" borderId="0" pivotButton="0" quotePrefix="0" xfId="0"/>
    <xf numFmtId="168" fontId="0" fillId="4" borderId="0" pivotButton="0" quotePrefix="0" xfId="0"/>
    <xf numFmtId="169" fontId="0" fillId="0" borderId="0" pivotButton="0" quotePrefix="0" xfId="0"/>
    <xf numFmtId="168" fontId="0" fillId="0" borderId="0" pivotButton="0" quotePrefix="0" xfId="0"/>
    <xf numFmtId="0" fontId="2" fillId="3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4" borderId="0" pivotButton="0" quotePrefix="0" xfId="0"/>
    <xf numFmtId="3" fontId="2" fillId="3" borderId="0" pivotButton="0" quotePrefix="0" xfId="0"/>
    <xf numFmtId="171" fontId="0" fillId="0" borderId="0" pivotButton="0" quotePrefix="0" xfId="0"/>
    <xf numFmtId="172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style="7" min="1" max="1"/>
    <col width="14" customWidth="1" style="7" min="2" max="2"/>
    <col width="38" customWidth="1" style="7" min="3" max="3"/>
    <col width="16" customWidth="1" style="7" min="4" max="4"/>
    <col width="16" customWidth="1" style="7" min="5" max="5"/>
    <col width="14" customWidth="1" style="7" min="6" max="6"/>
    <col width="16" customWidth="1" style="7" min="7" max="7"/>
    <col width="14" customWidth="1" style="7" min="8" max="8"/>
    <col width="16" customWidth="1" style="7" min="9" max="9"/>
    <col width="14" customWidth="1" style="7" min="10" max="10"/>
    <col width="14" customWidth="1" style="7" min="11" max="11"/>
    <col width="14" customWidth="1" style="7" min="12" max="12"/>
    <col width="14" customWidth="1" style="7" min="13" max="13"/>
    <col width="14" customWidth="1" style="7" min="14" max="14"/>
    <col width="16" customWidth="1" style="7" min="15" max="15"/>
    <col width="16" customWidth="1" style="7" min="16" max="16"/>
    <col width="14" customWidth="1" style="7" min="17" max="17"/>
    <col width="17" customWidth="1" style="7" min="18" max="18"/>
  </cols>
  <sheetData>
    <row r="1">
      <c r="A1" s="1" t="inlineStr">
        <is>
          <t>Inputs: every manual input (yellow). Values are drafts until verified against the source.</t>
        </is>
      </c>
    </row>
    <row r="2">
      <c r="A2" s="2" t="inlineStr">
        <is>
          <t>Input rows with a verification date</t>
        </is>
      </c>
      <c r="B2" s="3">
        <f>COUNT(R6:R17,R22:R29,R34:R37,R41:R57,R61:R73,R78:R81)</f>
        <v>57</v>
      </c>
      <c r="C2" t="str">
        <f>"of "&amp;(ROWS(R6:R17)+ROWS(R22:R29)+ROWS(R34:R37)+ROWS(R41:R57)+ROWS(R61:R73)+ROWS(R78:R81))</f>
        <v>of 58</v>
      </c>
    </row>
    <row r="3"/>
    <row r="4">
      <c r="A4" s="4" t="inlineStr">
        <is>
          <t>Scalar inputs</t>
        </is>
      </c>
    </row>
    <row r="5">
      <c r="A5" s="5" t="inlineStr">
        <is>
          <t>Name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Source</t>
        </is>
      </c>
      <c r="P5" s="5" t="inlineStr">
        <is>
          <t>Source page</t>
        </is>
      </c>
      <c r="Q5" s="5" t="inlineStr">
        <is>
          <t>Verified by</t>
        </is>
      </c>
      <c r="R5" s="5" t="inlineStr">
        <is>
          <t>Date verified</t>
        </is>
      </c>
    </row>
    <row r="6">
      <c r="A6" s="2" t="inlineStr">
        <is>
          <t>LTC_UNSTAFFED_STAFF_2024</t>
        </is>
      </c>
      <c r="B6" s="6" t="n">
        <v>353</v>
      </c>
      <c r="C6" t="inlineStr">
        <is>
          <t>beds, Dec 31, 2024</t>
        </is>
      </c>
      <c r="D6" t="inlineStr">
        <is>
          <t>SHPDA Table 16 (2024), reason text naming staffing (Okutsu Veterans Home's 21 "staff to census" excluded)</t>
        </is>
      </c>
      <c r="P6" s="8" t="inlineStr">
        <is>
          <t>SHPDA 2024 Table 16, pp. 80-82 (staffing rows, Kula counted)</t>
        </is>
      </c>
      <c r="Q6" s="8" t="inlineStr">
        <is>
          <t>MK</t>
        </is>
      </c>
      <c r="R6" s="31" t="n">
        <v>46294</v>
      </c>
    </row>
    <row r="7">
      <c r="A7" s="2" t="inlineStr">
        <is>
          <t>BENCH_DAYS</t>
        </is>
      </c>
      <c r="B7" s="6" t="n">
        <v>14</v>
      </c>
      <c r="C7" t="inlineStr">
        <is>
          <t>days per patient (average)</t>
        </is>
      </c>
      <c r="D7" t="inlineStr">
        <is>
          <t>My benchmark; reference: Scotland's 2-week maximum (NHS Borders, 2015)</t>
        </is>
      </c>
      <c r="P7" s="8" t="inlineStr">
        <is>
          <t>Brief (main) lines 19, 81</t>
        </is>
      </c>
      <c r="Q7" s="8" t="inlineStr">
        <is>
          <t>MK</t>
        </is>
      </c>
      <c r="R7" s="31" t="n">
        <v>46294</v>
      </c>
    </row>
    <row r="8">
      <c r="A8" s="2" t="inlineStr">
        <is>
          <t>KFF_COST_DAY</t>
        </is>
      </c>
      <c r="B8" s="32" t="n">
        <v>3664</v>
      </c>
      <c r="C8" t="inlineStr">
        <is>
          <t>USD per adjusted inpatient day, 2023</t>
        </is>
      </c>
      <c r="D8" t="inlineStr">
        <is>
          <t>KFF (AHA Annual Survey), Hawaii nonprofit hospitals ($3,663.56)</t>
        </is>
      </c>
      <c r="P8" s="8" t="inlineStr">
        <is>
          <t>KFF indicator, 2023 timeframe, Hawaii, Non-Profit ($3,663.56)</t>
        </is>
      </c>
      <c r="Q8" s="8" t="inlineStr">
        <is>
          <t>MK</t>
        </is>
      </c>
      <c r="R8" s="31" t="n">
        <v>46294</v>
      </c>
    </row>
    <row r="9">
      <c r="A9" s="2" t="inlineStr">
        <is>
          <t>AVOID_COST_LO</t>
        </is>
      </c>
      <c r="B9" s="32" t="n">
        <v>550</v>
      </c>
      <c r="C9" t="inlineStr">
        <is>
          <t>USD per waitlisted day</t>
        </is>
      </c>
      <c r="D9" t="inlineStr">
        <is>
          <t>About 15% of KFF_COST_DAY, rounded (brief)</t>
        </is>
      </c>
      <c r="P9" s="8" t="inlineStr">
        <is>
          <t>Brief line 51 (15% and 40% of $3,663.56, to nearest $10)</t>
        </is>
      </c>
      <c r="Q9" s="8" t="inlineStr">
        <is>
          <t>MK</t>
        </is>
      </c>
      <c r="R9" s="31" t="n">
        <v>46294</v>
      </c>
    </row>
    <row r="10">
      <c r="A10" s="2" t="inlineStr">
        <is>
          <t>AVOID_COST_HI</t>
        </is>
      </c>
      <c r="B10" s="32" t="n">
        <v>1470</v>
      </c>
      <c r="C10" t="inlineStr">
        <is>
          <t>USD per waitlisted day</t>
        </is>
      </c>
      <c r="D10" t="inlineStr">
        <is>
          <t>About 40% of KFF_COST_DAY, rounded (brief; unrounded 1,466)</t>
        </is>
      </c>
      <c r="P10" s="8" t="inlineStr">
        <is>
          <t>Brief line 51 (15% and 40% of $3,663.56, to nearest $10)</t>
        </is>
      </c>
      <c r="Q10" s="8" t="inlineStr">
        <is>
          <t>MK</t>
        </is>
      </c>
      <c r="R10" s="31" t="n">
        <v>46294</v>
      </c>
    </row>
    <row r="11">
      <c r="A11" s="2" t="inlineStr">
        <is>
          <t>WL_RATE_2026</t>
        </is>
      </c>
      <c r="B11" s="33" t="n">
        <v>486.76</v>
      </c>
      <c r="C11" t="inlineStr">
        <is>
          <t>USD per waitlisted day</t>
        </is>
      </c>
      <c r="D11" t="inlineStr">
        <is>
          <t>Med-QUEST QI-2532 (Jan 2026), the current case</t>
        </is>
      </c>
      <c r="P11" s="8" t="inlineStr">
        <is>
          <t>QI-2532 p. 2, Attachment A</t>
        </is>
      </c>
      <c r="Q11" s="8" t="inlineStr">
        <is>
          <t>MK</t>
        </is>
      </c>
      <c r="R11" s="31" t="n">
        <v>46294</v>
      </c>
    </row>
    <row r="12">
      <c r="A12" s="2" t="inlineStr">
        <is>
          <t>WL_RATE_LEAHI_2026</t>
        </is>
      </c>
      <c r="B12" s="33" t="n">
        <v>480.19</v>
      </c>
      <c r="C12" t="inlineStr">
        <is>
          <t>USD per waitlisted day</t>
        </is>
      </c>
      <c r="D12" t="inlineStr">
        <is>
          <t>QI-2532; reported as a note, not used in a calculation</t>
        </is>
      </c>
      <c r="P12" s="8" t="inlineStr">
        <is>
          <t>QI-2532 p. 2, Leahi row</t>
        </is>
      </c>
      <c r="Q12" s="8" t="inlineStr">
        <is>
          <t>MK</t>
        </is>
      </c>
      <c r="R12" s="31" t="n">
        <v>46294</v>
      </c>
    </row>
    <row r="13">
      <c r="A13" s="2" t="inlineStr">
        <is>
          <t>DATE_ADJ_2021</t>
        </is>
      </c>
      <c r="B13" s="34" t="n">
        <v>44209</v>
      </c>
      <c r="C13" t="inlineStr">
        <is>
          <t>date</t>
        </is>
      </c>
      <c r="D13" t="inlineStr">
        <is>
          <t>SPA HI-23-0014, Attachment 4.19-D p. 38: 12% adjustment for private homes (first seen in the January 2021 memo, QI-2041)</t>
        </is>
      </c>
      <c r="P13" s="8" t="inlineStr">
        <is>
          <t>SPA HI-23-0014, Att. 4.19-D p. 38 (PDF p. 5)</t>
        </is>
      </c>
      <c r="Q13" s="8" t="inlineStr">
        <is>
          <t>MK</t>
        </is>
      </c>
      <c r="R13" s="31" t="n">
        <v>46294</v>
      </c>
    </row>
    <row r="14">
      <c r="A14" s="2" t="inlineStr">
        <is>
          <t>DATE_RESET_2024</t>
        </is>
      </c>
      <c r="B14" s="34" t="n">
        <v>45292</v>
      </c>
      <c r="C14" t="inlineStr">
        <is>
          <t>date</t>
        </is>
      </c>
      <c r="D14" t="inlineStr">
        <is>
          <t>SPA HI-23-0014; QI-2342</t>
        </is>
      </c>
      <c r="P14" s="8" t="inlineStr">
        <is>
          <t>SPA Att. 4.19-D p. 38; QI-2342 p. 2</t>
        </is>
      </c>
      <c r="Q14" s="8" t="inlineStr">
        <is>
          <t>MK</t>
        </is>
      </c>
      <c r="R14" s="31" t="n">
        <v>46294</v>
      </c>
    </row>
    <row r="15">
      <c r="A15" s="2" t="inlineStr">
        <is>
          <t>T1_MIN_DROP_PTS</t>
        </is>
      </c>
      <c r="B15" s="6" t="n">
        <v>5</v>
      </c>
      <c r="C15" t="inlineStr">
        <is>
          <t>percentage points</t>
        </is>
      </c>
      <c r="D15" t="inlineStr">
        <is>
          <t>Brief, test 1</t>
        </is>
      </c>
      <c r="P15" s="8" t="inlineStr">
        <is>
          <t>Brief line 72</t>
        </is>
      </c>
      <c r="Q15" s="8" t="inlineStr">
        <is>
          <t>MK</t>
        </is>
      </c>
      <c r="R15" s="31" t="n">
        <v>46294</v>
      </c>
    </row>
    <row r="16">
      <c r="A16" s="2" t="inlineStr">
        <is>
          <t>COVID_YEARS</t>
        </is>
      </c>
      <c r="B16" s="12" t="n">
        <v>2020</v>
      </c>
      <c r="C16" t="inlineStr">
        <is>
          <t>years</t>
        </is>
      </c>
      <c r="D16" t="inlineStr">
        <is>
          <t>Brief</t>
        </is>
      </c>
      <c r="P16" s="8" t="inlineStr">
        <is>
          <t>Brief line 79</t>
        </is>
      </c>
      <c r="Q16" s="8" t="inlineStr">
        <is>
          <t>MK</t>
        </is>
      </c>
      <c r="R16" s="31" t="n">
        <v>46294</v>
      </c>
    </row>
    <row r="17">
      <c r="A17" s="2" t="inlineStr">
        <is>
          <t>(COVID_YEARS, 2nd)</t>
        </is>
      </c>
      <c r="B17" s="12" t="n">
        <v>2021</v>
      </c>
      <c r="P17" s="8" t="inlineStr">
        <is>
          <t>Brief line 79</t>
        </is>
      </c>
      <c r="Q17" s="8" t="inlineStr">
        <is>
          <t>MK</t>
        </is>
      </c>
      <c r="R17" s="31" t="n">
        <v>46294</v>
      </c>
    </row>
    <row r="18"/>
    <row r="19">
      <c r="A19" s="4" t="inlineStr">
        <is>
          <t>Year table (SHPDA Table 18 statewide; Table 16 statewide; Med-QUEST waitlisted rates)</t>
        </is>
      </c>
    </row>
    <row r="20" ht="32" customHeight="1" s="7">
      <c r="A20" s="5" t="inlineStr">
        <is>
          <t>Year</t>
        </is>
      </c>
      <c r="B20" s="5" t="inlineStr">
        <is>
          <t>WL_PATIENTS</t>
        </is>
      </c>
      <c r="C20" s="5" t="inlineStr">
        <is>
          <t>WL_DAYS</t>
        </is>
      </c>
      <c r="D20" s="5" t="inlineStr">
        <is>
          <t>REASON_NO_BED</t>
        </is>
      </c>
      <c r="E20" s="5" t="inlineStr">
        <is>
          <t>REASON_BEHAVIOR</t>
        </is>
      </c>
      <c r="F20" s="5" t="inlineStr">
        <is>
          <t>REASON_SPECIAL_CARE</t>
        </is>
      </c>
      <c r="G20" s="5" t="inlineStr">
        <is>
          <t>REASON_FINANCIAL</t>
        </is>
      </c>
      <c r="H20" s="5" t="inlineStr">
        <is>
          <t>REASON_GUARDIANSHIP</t>
        </is>
      </c>
      <c r="I20" s="5" t="inlineStr">
        <is>
          <t>REASON_PASARR</t>
        </is>
      </c>
      <c r="J20" s="5" t="inlineStr">
        <is>
          <t>REASON_OTHER</t>
        </is>
      </c>
      <c r="K20" s="5" t="inlineStr">
        <is>
          <t>DEC31_TOTAL</t>
        </is>
      </c>
      <c r="L20" s="5" t="inlineStr">
        <is>
          <t>DEC31_NF</t>
        </is>
      </c>
      <c r="M20" s="5" t="inlineStr">
        <is>
          <t>LTC_UNSTAFFED</t>
        </is>
      </c>
      <c r="N20" s="5" t="inlineStr">
        <is>
          <t>WL_RATE_JAN</t>
        </is>
      </c>
      <c r="O20" s="5" t="inlineStr">
        <is>
          <t>WL_RATE_JUL</t>
        </is>
      </c>
      <c r="P20" s="5" t="inlineStr">
        <is>
          <t>Source page</t>
        </is>
      </c>
      <c r="Q20" s="5" t="inlineStr">
        <is>
          <t>Verified by</t>
        </is>
      </c>
      <c r="R20" s="5" t="inlineStr">
        <is>
          <t>Date verified</t>
        </is>
      </c>
    </row>
    <row r="21" ht="30" customHeight="1" s="7">
      <c r="A21" s="2" t="inlineStr">
        <is>
          <t>Source</t>
        </is>
      </c>
      <c r="B21" s="13" t="inlineStr">
        <is>
          <t>T18 total</t>
        </is>
      </c>
      <c r="C21" s="13" t="inlineStr">
        <is>
          <t>T18 total</t>
        </is>
      </c>
      <c r="D21" s="13" t="inlineStr">
        <is>
          <t>T18 reason F</t>
        </is>
      </c>
      <c r="E21" s="13" t="inlineStr">
        <is>
          <t>T18 reason G</t>
        </is>
      </c>
      <c r="F21" s="13" t="inlineStr">
        <is>
          <t>T18 reason H</t>
        </is>
      </c>
      <c r="G21" s="13" t="inlineStr">
        <is>
          <t>T18 reason I</t>
        </is>
      </c>
      <c r="H21" s="13" t="inlineStr">
        <is>
          <t>T18 reason J</t>
        </is>
      </c>
      <c r="I21" s="13" t="inlineStr">
        <is>
          <t>T18 reason K</t>
        </is>
      </c>
      <c r="J21" s="13" t="inlineStr">
        <is>
          <t>T18 reason L</t>
        </is>
      </c>
      <c r="K21" s="13" t="inlineStr">
        <is>
          <t>T18 by level of care</t>
        </is>
      </c>
      <c r="L21" s="13" t="inlineStr">
        <is>
          <t>T18 type A</t>
        </is>
      </c>
      <c r="M21" s="13" t="inlineStr">
        <is>
          <t>T16 statewide</t>
        </is>
      </c>
      <c r="N21" s="13" t="inlineStr">
        <is>
          <t>QI-2225, QI-2342</t>
        </is>
      </c>
      <c r="O21" s="13" t="inlineStr">
        <is>
          <t>QI-2326, QI-2413</t>
        </is>
      </c>
    </row>
    <row r="22">
      <c r="A22" s="14" t="n">
        <v>2017</v>
      </c>
      <c r="B22" s="6" t="n">
        <v>6187</v>
      </c>
      <c r="C22" s="6" t="n">
        <v>61470</v>
      </c>
      <c r="D22" s="6" t="n">
        <v>39</v>
      </c>
      <c r="E22" s="6" t="n">
        <v>16</v>
      </c>
      <c r="F22" s="6" t="n">
        <v>23</v>
      </c>
      <c r="G22" s="6" t="n">
        <v>18</v>
      </c>
      <c r="H22" s="6" t="n">
        <v>11</v>
      </c>
      <c r="I22" s="6" t="n">
        <v>2</v>
      </c>
      <c r="J22" s="6" t="n">
        <v>11</v>
      </c>
      <c r="K22" s="6" t="n">
        <v>157</v>
      </c>
      <c r="M22" s="6" t="n">
        <v>128</v>
      </c>
      <c r="P22" s="8" t="inlineStr">
        <is>
          <t>T18 2017 p. 72; T16 2017 p. 69</t>
        </is>
      </c>
      <c r="Q22" s="8" t="inlineStr">
        <is>
          <t>MK</t>
        </is>
      </c>
      <c r="R22" s="31" t="n">
        <v>46294</v>
      </c>
    </row>
    <row r="23">
      <c r="A23" s="14" t="n">
        <v>2018</v>
      </c>
      <c r="B23" s="6" t="n">
        <v>5294</v>
      </c>
      <c r="C23" s="6" t="n">
        <v>66091</v>
      </c>
      <c r="D23" s="6" t="n">
        <v>57</v>
      </c>
      <c r="E23" s="6" t="n">
        <v>29</v>
      </c>
      <c r="F23" s="6" t="n">
        <v>17</v>
      </c>
      <c r="G23" s="6" t="n">
        <v>31</v>
      </c>
      <c r="H23" s="6" t="n">
        <v>18</v>
      </c>
      <c r="I23" s="6" t="n">
        <v>2</v>
      </c>
      <c r="J23" s="6" t="n">
        <v>17</v>
      </c>
      <c r="K23" s="6" t="n">
        <v>171</v>
      </c>
      <c r="M23" s="6" t="n">
        <v>160</v>
      </c>
      <c r="P23" s="8" t="inlineStr">
        <is>
          <t>T18 2018 p. 82; T16 p. 79</t>
        </is>
      </c>
      <c r="Q23" s="8" t="inlineStr">
        <is>
          <t>MK</t>
        </is>
      </c>
      <c r="R23" s="31" t="n">
        <v>46294</v>
      </c>
    </row>
    <row r="24">
      <c r="A24" s="14" t="n">
        <v>2019</v>
      </c>
      <c r="B24" s="6" t="n">
        <v>4790</v>
      </c>
      <c r="C24" s="6" t="n">
        <v>78911</v>
      </c>
      <c r="D24" s="6" t="n">
        <v>72</v>
      </c>
      <c r="E24" s="6" t="n">
        <v>27</v>
      </c>
      <c r="F24" s="6" t="n">
        <v>21</v>
      </c>
      <c r="G24" s="6" t="n">
        <v>32</v>
      </c>
      <c r="H24" s="6" t="n">
        <v>26</v>
      </c>
      <c r="I24" s="6" t="n">
        <v>0</v>
      </c>
      <c r="J24" s="6" t="n">
        <v>6</v>
      </c>
      <c r="K24" s="6" t="n">
        <v>184</v>
      </c>
      <c r="M24" s="6" t="n">
        <v>248</v>
      </c>
      <c r="P24" s="8" t="inlineStr">
        <is>
          <t>T18 2019 p. 82; T16 p. 79</t>
        </is>
      </c>
      <c r="Q24" s="8" t="inlineStr">
        <is>
          <t>MK</t>
        </is>
      </c>
      <c r="R24" s="31" t="n">
        <v>46294</v>
      </c>
    </row>
    <row r="25">
      <c r="A25" s="14" t="n">
        <v>2020</v>
      </c>
      <c r="B25" s="6" t="n">
        <v>4553</v>
      </c>
      <c r="C25" s="6" t="n">
        <v>57297</v>
      </c>
      <c r="D25" s="6" t="n">
        <v>41</v>
      </c>
      <c r="E25" s="6" t="n">
        <v>24</v>
      </c>
      <c r="F25" s="6" t="n">
        <v>22</v>
      </c>
      <c r="G25" s="6" t="n">
        <v>30</v>
      </c>
      <c r="H25" s="6" t="n">
        <v>15</v>
      </c>
      <c r="I25" s="6" t="n">
        <v>0</v>
      </c>
      <c r="J25" s="6" t="n">
        <v>12</v>
      </c>
      <c r="K25" s="6" t="n">
        <v>144</v>
      </c>
      <c r="M25" s="6" t="n">
        <v>462</v>
      </c>
      <c r="P25" s="8" t="inlineStr">
        <is>
          <t>T18 2020 p. 85; T16 p. 81</t>
        </is>
      </c>
      <c r="Q25" s="8" t="inlineStr">
        <is>
          <t>MK</t>
        </is>
      </c>
      <c r="R25" s="31" t="n">
        <v>46294</v>
      </c>
    </row>
    <row r="26">
      <c r="A26" s="14" t="n">
        <v>2021</v>
      </c>
      <c r="B26" s="6" t="n">
        <v>4927</v>
      </c>
      <c r="C26" s="6" t="n">
        <v>60050</v>
      </c>
      <c r="D26" s="6" t="n">
        <v>50</v>
      </c>
      <c r="E26" s="6" t="n">
        <v>36</v>
      </c>
      <c r="F26" s="6" t="n">
        <v>22</v>
      </c>
      <c r="G26" s="6" t="n">
        <v>43</v>
      </c>
      <c r="H26" s="6" t="n">
        <v>20</v>
      </c>
      <c r="I26" s="6" t="n">
        <v>0</v>
      </c>
      <c r="J26" s="6" t="n">
        <v>18</v>
      </c>
      <c r="K26" s="6" t="n">
        <v>189</v>
      </c>
      <c r="M26" s="6" t="n">
        <v>614</v>
      </c>
      <c r="P26" s="8" t="inlineStr">
        <is>
          <t>T18 2021 p. 87; T16 p. 83</t>
        </is>
      </c>
      <c r="Q26" s="8" t="inlineStr">
        <is>
          <t>MK</t>
        </is>
      </c>
      <c r="R26" s="31" t="n">
        <v>46294</v>
      </c>
    </row>
    <row r="27">
      <c r="A27" s="14" t="n">
        <v>2022</v>
      </c>
      <c r="B27" s="6" t="n">
        <v>3681</v>
      </c>
      <c r="C27" s="6" t="n">
        <v>78561</v>
      </c>
      <c r="D27" s="6" t="n">
        <v>57</v>
      </c>
      <c r="E27" s="6" t="n">
        <v>35</v>
      </c>
      <c r="F27" s="6" t="n">
        <v>39</v>
      </c>
      <c r="G27" s="6" t="n">
        <v>75</v>
      </c>
      <c r="H27" s="6" t="n">
        <v>29</v>
      </c>
      <c r="I27" s="6" t="n">
        <v>5</v>
      </c>
      <c r="J27" s="6" t="n">
        <v>10</v>
      </c>
      <c r="K27" s="6" t="n">
        <v>250</v>
      </c>
      <c r="M27" s="6" t="n">
        <v>661</v>
      </c>
      <c r="P27" s="8" t="inlineStr">
        <is>
          <t>T18 2022 p. 86; T16 p. 82</t>
        </is>
      </c>
      <c r="Q27" s="8" t="inlineStr">
        <is>
          <t>MK</t>
        </is>
      </c>
      <c r="R27" s="31" t="n">
        <v>46294</v>
      </c>
    </row>
    <row r="28">
      <c r="A28" s="14" t="n">
        <v>2023</v>
      </c>
      <c r="B28" s="6" t="n">
        <v>3610</v>
      </c>
      <c r="C28" s="6" t="n">
        <v>83097</v>
      </c>
      <c r="D28" s="6" t="n">
        <v>42</v>
      </c>
      <c r="E28" s="6" t="n">
        <v>48</v>
      </c>
      <c r="F28" s="6" t="n">
        <v>26</v>
      </c>
      <c r="G28" s="6" t="n">
        <v>45</v>
      </c>
      <c r="H28" s="6" t="n">
        <v>28</v>
      </c>
      <c r="I28" s="6" t="n">
        <v>1</v>
      </c>
      <c r="J28" s="6" t="n">
        <v>1</v>
      </c>
      <c r="K28" s="6" t="n">
        <v>191</v>
      </c>
      <c r="L28" s="6" t="n">
        <v>157</v>
      </c>
      <c r="M28" s="6" t="n">
        <v>510</v>
      </c>
      <c r="N28" s="33" t="n">
        <v>283.6</v>
      </c>
      <c r="O28" s="33" t="n">
        <v>302.89</v>
      </c>
      <c r="P28" s="8" t="inlineStr">
        <is>
          <t>T18 2023 p. 86; T16 p. 82; QI-2225 p. 2; QI-2326 p. 2</t>
        </is>
      </c>
      <c r="Q28" s="8" t="inlineStr">
        <is>
          <t>MK</t>
        </is>
      </c>
      <c r="R28" s="31" t="n">
        <v>46294</v>
      </c>
    </row>
    <row r="29">
      <c r="A29" s="14" t="n">
        <v>2024</v>
      </c>
      <c r="B29" s="6" t="n">
        <v>3123</v>
      </c>
      <c r="C29" s="6" t="n">
        <v>60876</v>
      </c>
      <c r="D29" s="6" t="n">
        <v>31</v>
      </c>
      <c r="E29" s="6" t="n">
        <v>29</v>
      </c>
      <c r="F29" s="6" t="n">
        <v>18</v>
      </c>
      <c r="G29" s="6" t="n">
        <v>60</v>
      </c>
      <c r="H29" s="6" t="n">
        <v>31</v>
      </c>
      <c r="I29" s="6" t="n">
        <v>0</v>
      </c>
      <c r="J29" s="6" t="n">
        <v>4</v>
      </c>
      <c r="K29" s="6" t="n">
        <v>173</v>
      </c>
      <c r="L29" s="6" t="n">
        <v>120</v>
      </c>
      <c r="M29" s="6" t="n">
        <v>548</v>
      </c>
      <c r="N29" s="33" t="n">
        <v>464.97</v>
      </c>
      <c r="O29" s="33" t="n">
        <v>455.59</v>
      </c>
      <c r="P29" s="8" t="inlineStr">
        <is>
          <t>T18 2024 p. 86; T16 p. 82; QI-2342 p. 2; QI-2413 p. 2</t>
        </is>
      </c>
      <c r="Q29" s="8" t="inlineStr">
        <is>
          <t>MK</t>
        </is>
      </c>
      <c r="R29" s="31" t="n">
        <v>46294</v>
      </c>
    </row>
    <row r="30">
      <c r="A30" s="15" t="inlineStr">
        <is>
          <t>Reason columns F to L; 2017 reasons sum to 120 against 157 by level of care (Maui Memorial records reasons for 6 of 47 patients; Queen's Punchbowl's reasons sum to 43 against 39). DEC31_NF and the waitlisted rates exist for 2023 and 2024 only (blank, not inputs, in other years).</t>
        </is>
      </c>
    </row>
    <row r="31"/>
    <row r="32">
      <c r="A32" s="4" t="inlineStr">
        <is>
          <t>County table (Table 18 hospital rows summed by county, shpda-table18-by-hospital-2023-2024.csv)</t>
        </is>
      </c>
    </row>
    <row r="33" ht="32" customHeight="1" s="7">
      <c r="A33" s="5" t="inlineStr">
        <is>
          <t>COUNTY</t>
        </is>
      </c>
      <c r="B33" s="5" t="inlineStr">
        <is>
          <t>CTY_PATIENTS 2023</t>
        </is>
      </c>
      <c r="C33" s="5" t="inlineStr">
        <is>
          <t>CTY_PATIENTS 2024</t>
        </is>
      </c>
      <c r="D33" s="5" t="inlineStr">
        <is>
          <t>CTY_DAYS 2023</t>
        </is>
      </c>
      <c r="E33" s="5" t="inlineStr">
        <is>
          <t>CTY_DAYS 2024</t>
        </is>
      </c>
      <c r="P33" s="5" t="inlineStr">
        <is>
          <t>Source page</t>
        </is>
      </c>
      <c r="Q33" s="5" t="inlineStr">
        <is>
          <t>Verified by</t>
        </is>
      </c>
      <c r="R33" s="5" t="inlineStr">
        <is>
          <t>Date verified</t>
        </is>
      </c>
    </row>
    <row r="34">
      <c r="A34" s="2" t="inlineStr">
        <is>
          <t>Hawaii</t>
        </is>
      </c>
      <c r="B34" s="6" t="n">
        <v>869</v>
      </c>
      <c r="C34" s="6" t="n">
        <v>727</v>
      </c>
      <c r="D34" s="6" t="n">
        <v>23212</v>
      </c>
      <c r="E34" s="6" t="n">
        <v>20174</v>
      </c>
      <c r="P34" s="8" t="inlineStr">
        <is>
          <t>T18 2023 and 2024, pp. 85-86 (hospital rows summed; county totals)</t>
        </is>
      </c>
      <c r="Q34" s="8" t="inlineStr">
        <is>
          <t>MK</t>
        </is>
      </c>
      <c r="R34" s="31" t="n">
        <v>46294</v>
      </c>
    </row>
    <row r="35">
      <c r="A35" s="2" t="inlineStr">
        <is>
          <t>Honolulu</t>
        </is>
      </c>
      <c r="B35" s="6" t="n">
        <v>2255</v>
      </c>
      <c r="C35" s="6" t="n">
        <v>1979</v>
      </c>
      <c r="D35" s="6" t="n">
        <v>40327</v>
      </c>
      <c r="E35" s="6" t="n">
        <v>27380</v>
      </c>
      <c r="P35" s="8" t="inlineStr">
        <is>
          <t>T18 2023 and 2024, pp. 85-86 (hospital rows summed; county totals)</t>
        </is>
      </c>
      <c r="Q35" s="8" t="inlineStr">
        <is>
          <t>MK</t>
        </is>
      </c>
      <c r="R35" s="31" t="n">
        <v>46294</v>
      </c>
    </row>
    <row r="36">
      <c r="A36" s="2" t="inlineStr">
        <is>
          <t>Kauai</t>
        </is>
      </c>
      <c r="B36" s="6" t="n">
        <v>86</v>
      </c>
      <c r="C36" s="6" t="n">
        <v>64</v>
      </c>
      <c r="D36" s="6" t="n">
        <v>1720</v>
      </c>
      <c r="E36" s="6" t="n">
        <v>1927</v>
      </c>
      <c r="P36" s="8" t="inlineStr">
        <is>
          <t>T18 2023 and 2024, pp. 85-86 (hospital rows summed; county totals)</t>
        </is>
      </c>
      <c r="Q36" s="8" t="inlineStr">
        <is>
          <t>MK</t>
        </is>
      </c>
      <c r="R36" s="31" t="n">
        <v>46294</v>
      </c>
    </row>
    <row r="37">
      <c r="A37" s="2" t="inlineStr">
        <is>
          <t>Maui</t>
        </is>
      </c>
      <c r="B37" s="6" t="n">
        <v>400</v>
      </c>
      <c r="C37" s="6" t="n">
        <v>353</v>
      </c>
      <c r="D37" s="6" t="n">
        <v>17838</v>
      </c>
      <c r="E37" s="6" t="n">
        <v>11395</v>
      </c>
      <c r="P37" s="8" t="inlineStr">
        <is>
          <t>T18 2023 and 2024, pp. 85-86 (hospital rows summed; county totals)</t>
        </is>
      </c>
      <c r="Q37" s="8" t="inlineStr">
        <is>
          <t>MK</t>
        </is>
      </c>
      <c r="R37" s="31" t="n">
        <v>46294</v>
      </c>
    </row>
    <row r="38"/>
    <row r="39">
      <c r="A39" s="4" t="inlineStr">
        <is>
          <t>Median nursing-facility rate by memo (Med-QUEST memos, hi-medicaid-rate-series-2016-2026.csv)</t>
        </is>
      </c>
    </row>
    <row r="40" ht="32" customHeight="1" s="7">
      <c r="A40" s="5" t="inlineStr">
        <is>
          <t>RATE_DATE (effective month)</t>
        </is>
      </c>
      <c r="B40" s="5" t="inlineStr">
        <is>
          <t>Memo</t>
        </is>
      </c>
      <c r="C40" s="5" t="inlineStr">
        <is>
          <t>NF_RATE_MEDIAN</t>
        </is>
      </c>
      <c r="P40" s="5" t="inlineStr">
        <is>
          <t>Source page</t>
        </is>
      </c>
      <c r="Q40" s="5" t="inlineStr">
        <is>
          <t>Verified by</t>
        </is>
      </c>
      <c r="R40" s="5" t="inlineStr">
        <is>
          <t>Date verified</t>
        </is>
      </c>
    </row>
    <row r="41">
      <c r="A41" s="16" t="n">
        <v>42370</v>
      </c>
      <c r="B41" s="2" t="inlineStr">
        <is>
          <t>QI-1521</t>
        </is>
      </c>
      <c r="C41" s="33" t="n">
        <v>246.97</v>
      </c>
      <c r="P41" s="8" t="inlineStr">
        <is>
          <t>QI-1521 p. 2</t>
        </is>
      </c>
      <c r="Q41" s="8" t="inlineStr">
        <is>
          <t>MK</t>
        </is>
      </c>
      <c r="R41" s="31" t="n">
        <v>46294</v>
      </c>
    </row>
    <row r="42">
      <c r="A42" s="16" t="n">
        <v>42552</v>
      </c>
      <c r="B42" s="2" t="inlineStr">
        <is>
          <t>QI-1607</t>
        </is>
      </c>
      <c r="C42" s="33" t="n">
        <v>252.4</v>
      </c>
      <c r="P42" s="8" t="inlineStr">
        <is>
          <t>QI-1607 p. 5</t>
        </is>
      </c>
      <c r="Q42" s="8" t="inlineStr">
        <is>
          <t>MK</t>
        </is>
      </c>
      <c r="R42" s="31" t="n">
        <v>46294</v>
      </c>
    </row>
    <row r="43">
      <c r="A43" s="16" t="n">
        <v>42736</v>
      </c>
      <c r="B43" s="2" t="inlineStr">
        <is>
          <t>QI-1622</t>
        </is>
      </c>
      <c r="C43" s="33" t="n">
        <v>251.93</v>
      </c>
      <c r="P43" s="8" t="inlineStr">
        <is>
          <t>QI-1622 p. 2</t>
        </is>
      </c>
      <c r="Q43" s="8" t="inlineStr">
        <is>
          <t>MK</t>
        </is>
      </c>
      <c r="R43" s="31" t="n">
        <v>46294</v>
      </c>
    </row>
    <row r="44">
      <c r="A44" s="16" t="n">
        <v>42917</v>
      </c>
      <c r="B44" s="2" t="inlineStr">
        <is>
          <t>QI-1710</t>
        </is>
      </c>
      <c r="C44" s="33" t="n">
        <v>261.45</v>
      </c>
      <c r="P44" s="8" t="inlineStr">
        <is>
          <t>QI-1710 p. 8</t>
        </is>
      </c>
      <c r="Q44" s="8" t="inlineStr">
        <is>
          <t>MK</t>
        </is>
      </c>
      <c r="R44" s="31" t="n">
        <v>46294</v>
      </c>
    </row>
    <row r="45">
      <c r="A45" s="16" t="n">
        <v>43282</v>
      </c>
      <c r="B45" s="2" t="inlineStr">
        <is>
          <t>QI-1809</t>
        </is>
      </c>
      <c r="C45" s="33" t="n">
        <v>270.66</v>
      </c>
      <c r="P45" s="8" t="inlineStr">
        <is>
          <t>QI-1809 p. 9</t>
        </is>
      </c>
      <c r="Q45" s="8" t="inlineStr">
        <is>
          <t>MK</t>
        </is>
      </c>
      <c r="R45" s="31" t="n">
        <v>46294</v>
      </c>
    </row>
    <row r="46">
      <c r="A46" s="16" t="n">
        <v>43466</v>
      </c>
      <c r="B46" s="2" t="inlineStr">
        <is>
          <t>QI-1820</t>
        </is>
      </c>
      <c r="C46" s="33" t="n">
        <v>270.15</v>
      </c>
      <c r="P46" s="8" t="inlineStr">
        <is>
          <t>QI-1820 p. 5</t>
        </is>
      </c>
      <c r="Q46" s="8" t="inlineStr">
        <is>
          <t>MK</t>
        </is>
      </c>
      <c r="R46" s="31" t="n">
        <v>46294</v>
      </c>
    </row>
    <row r="47">
      <c r="A47" s="16" t="n">
        <v>43647</v>
      </c>
      <c r="B47" s="2" t="inlineStr">
        <is>
          <t>QI-1911B</t>
        </is>
      </c>
      <c r="C47" s="8" t="n"/>
      <c r="D47" s="15" t="inlineStr">
        <is>
          <t>Left blank: QI-1911B, the controlling July 2019 memo, lists but omits its acuity rate table</t>
        </is>
      </c>
      <c r="P47" s="8" t="inlineStr">
        <is>
          <t>Blank by decision: QI-1911B omits Att. H</t>
        </is>
      </c>
      <c r="Q47" s="8" t="inlineStr">
        <is>
          <t>MK</t>
        </is>
      </c>
      <c r="R47" s="34" t="n"/>
    </row>
    <row r="48">
      <c r="A48" s="16" t="n">
        <v>44013</v>
      </c>
      <c r="B48" s="2" t="inlineStr">
        <is>
          <t>QI-2022</t>
        </is>
      </c>
      <c r="C48" s="33" t="n">
        <v>282.98</v>
      </c>
      <c r="P48" s="8" t="inlineStr">
        <is>
          <t>QI-2022 p. 11</t>
        </is>
      </c>
      <c r="Q48" s="8" t="inlineStr">
        <is>
          <t>MK</t>
        </is>
      </c>
      <c r="R48" s="31" t="n">
        <v>46294</v>
      </c>
    </row>
    <row r="49">
      <c r="A49" s="16" t="n">
        <v>44378</v>
      </c>
      <c r="B49" s="2" t="inlineStr">
        <is>
          <t>QI-2113B</t>
        </is>
      </c>
      <c r="C49" s="33" t="n">
        <v>334.75</v>
      </c>
      <c r="P49" s="8" t="inlineStr">
        <is>
          <t>QI-2113B p. 11</t>
        </is>
      </c>
      <c r="Q49" s="8" t="inlineStr">
        <is>
          <t>MK</t>
        </is>
      </c>
      <c r="R49" s="31" t="n">
        <v>46294</v>
      </c>
    </row>
    <row r="50">
      <c r="A50" s="16" t="n">
        <v>44562</v>
      </c>
      <c r="B50" s="2" t="inlineStr">
        <is>
          <t>QI-2166</t>
        </is>
      </c>
      <c r="C50" s="33" t="n">
        <v>332.59</v>
      </c>
      <c r="P50" s="8" t="inlineStr">
        <is>
          <t>QI-2166 p. 7</t>
        </is>
      </c>
      <c r="Q50" s="8" t="inlineStr">
        <is>
          <t>MK</t>
        </is>
      </c>
      <c r="R50" s="31" t="n">
        <v>46294</v>
      </c>
    </row>
    <row r="51">
      <c r="A51" s="16" t="n">
        <v>44927</v>
      </c>
      <c r="B51" s="2" t="inlineStr">
        <is>
          <t>QI-2225</t>
        </is>
      </c>
      <c r="C51" s="33" t="n">
        <v>355.11</v>
      </c>
      <c r="P51" s="8" t="inlineStr">
        <is>
          <t>QI-2225 p. 3</t>
        </is>
      </c>
      <c r="Q51" s="8" t="inlineStr">
        <is>
          <t>MK</t>
        </is>
      </c>
      <c r="R51" s="31" t="n">
        <v>46294</v>
      </c>
    </row>
    <row r="52">
      <c r="A52" s="16" t="n">
        <v>45108</v>
      </c>
      <c r="B52" s="2" t="inlineStr">
        <is>
          <t>QI-2326</t>
        </is>
      </c>
      <c r="C52" s="33" t="n">
        <v>371.99</v>
      </c>
      <c r="P52" s="8" t="inlineStr">
        <is>
          <t>QI-2326 p. 3</t>
        </is>
      </c>
      <c r="Q52" s="8" t="inlineStr">
        <is>
          <t>MK</t>
        </is>
      </c>
      <c r="R52" s="31" t="n">
        <v>46294</v>
      </c>
    </row>
    <row r="53">
      <c r="A53" s="16" t="n">
        <v>45292</v>
      </c>
      <c r="B53" s="2" t="inlineStr">
        <is>
          <t>QI-2342</t>
        </is>
      </c>
      <c r="C53" s="33" t="n">
        <v>481.83</v>
      </c>
      <c r="P53" s="8" t="inlineStr">
        <is>
          <t>QI-2342 p. 3</t>
        </is>
      </c>
      <c r="Q53" s="8" t="inlineStr">
        <is>
          <t>MK</t>
        </is>
      </c>
      <c r="R53" s="31" t="n">
        <v>46294</v>
      </c>
    </row>
    <row r="54">
      <c r="A54" s="16" t="n">
        <v>45474</v>
      </c>
      <c r="B54" s="2" t="inlineStr">
        <is>
          <t>QI-2413</t>
        </is>
      </c>
      <c r="C54" s="33" t="n">
        <v>482.2</v>
      </c>
      <c r="P54" s="8" t="inlineStr">
        <is>
          <t>QI-2413 p. 3</t>
        </is>
      </c>
      <c r="Q54" s="8" t="inlineStr">
        <is>
          <t>MK</t>
        </is>
      </c>
      <c r="R54" s="31" t="n">
        <v>46294</v>
      </c>
    </row>
    <row r="55">
      <c r="A55" s="16" t="n">
        <v>45658</v>
      </c>
      <c r="B55" s="2" t="inlineStr">
        <is>
          <t>QI-2427</t>
        </is>
      </c>
      <c r="C55" s="33" t="n">
        <v>509.69</v>
      </c>
      <c r="P55" s="8" t="inlineStr">
        <is>
          <t>QI-2427 p. 3</t>
        </is>
      </c>
      <c r="Q55" s="8" t="inlineStr">
        <is>
          <t>MK</t>
        </is>
      </c>
      <c r="R55" s="31" t="n">
        <v>46294</v>
      </c>
    </row>
    <row r="56">
      <c r="A56" s="16" t="n">
        <v>45839</v>
      </c>
      <c r="B56" s="2" t="inlineStr">
        <is>
          <t>QI-2515</t>
        </is>
      </c>
      <c r="C56" s="33" t="n">
        <v>506.65</v>
      </c>
      <c r="P56" s="8" t="inlineStr">
        <is>
          <t>QI-2515 p. 3</t>
        </is>
      </c>
      <c r="Q56" s="8" t="inlineStr">
        <is>
          <t>MK</t>
        </is>
      </c>
      <c r="R56" s="31" t="n">
        <v>46294</v>
      </c>
    </row>
    <row r="57">
      <c r="A57" s="16" t="n">
        <v>46023</v>
      </c>
      <c r="B57" s="2" t="inlineStr">
        <is>
          <t>QI-2532</t>
        </is>
      </c>
      <c r="C57" s="33" t="n">
        <v>495.26</v>
      </c>
      <c r="P57" s="8" t="inlineStr">
        <is>
          <t>QI-2532 p. 3 (median 495.255, rounded half up)</t>
        </is>
      </c>
      <c r="Q57" s="8" t="inlineStr">
        <is>
          <t>MK</t>
        </is>
      </c>
      <c r="R57" s="31" t="n">
        <v>46294</v>
      </c>
    </row>
    <row r="58"/>
    <row r="59">
      <c r="A59" s="4" t="inlineStr">
        <is>
          <t>Median nursing-home cost per patient day (CMS SNF cost reports, hi-snf-cost-per-day-series-2011-2023.csv)</t>
        </is>
      </c>
    </row>
    <row r="60" ht="32" customHeight="1" s="7">
      <c r="A60" s="5" t="inlineStr">
        <is>
          <t>COST_FY</t>
        </is>
      </c>
      <c r="B60" s="5" t="inlineStr">
        <is>
          <t>NF_COST_ALL</t>
        </is>
      </c>
      <c r="C60" s="5" t="inlineStr">
        <is>
          <t>NF_COST_MCD_HEAVY</t>
        </is>
      </c>
      <c r="P60" s="5" t="inlineStr">
        <is>
          <t>Source page</t>
        </is>
      </c>
      <c r="Q60" s="5" t="inlineStr">
        <is>
          <t>Verified by</t>
        </is>
      </c>
      <c r="R60" s="5" t="inlineStr">
        <is>
          <t>Date verified</t>
        </is>
      </c>
    </row>
    <row r="61">
      <c r="A61" s="14" t="n">
        <v>2011</v>
      </c>
      <c r="B61" s="33" t="n">
        <v>295.13</v>
      </c>
      <c r="C61" s="33" t="n">
        <v>287.76</v>
      </c>
      <c r="P61" s="8" t="inlineStr">
        <is>
          <t>CMS SNF cost report FY20xx (data.cms.gov), Worksheet A; median re-derived</t>
        </is>
      </c>
      <c r="Q61" s="8" t="inlineStr">
        <is>
          <t>MK</t>
        </is>
      </c>
      <c r="R61" s="31" t="n">
        <v>46294</v>
      </c>
    </row>
    <row r="62">
      <c r="A62" s="14" t="n">
        <v>2012</v>
      </c>
      <c r="B62" s="33" t="n">
        <v>314.68</v>
      </c>
      <c r="C62" s="33" t="n">
        <v>311.89</v>
      </c>
      <c r="P62" s="8" t="inlineStr">
        <is>
          <t>CMS SNF cost report FY20xx (data.cms.gov), Worksheet A; median re-derived</t>
        </is>
      </c>
      <c r="Q62" s="8" t="inlineStr">
        <is>
          <t>MK</t>
        </is>
      </c>
      <c r="R62" s="31" t="n">
        <v>46294</v>
      </c>
    </row>
    <row r="63">
      <c r="A63" s="14" t="n">
        <v>2013</v>
      </c>
      <c r="B63" s="33" t="n">
        <v>342.42</v>
      </c>
      <c r="C63" s="33" t="n">
        <v>322.2</v>
      </c>
      <c r="P63" s="8" t="inlineStr">
        <is>
          <t>CMS SNF cost report FY20xx (data.cms.gov), Worksheet A; median re-derived</t>
        </is>
      </c>
      <c r="Q63" s="8" t="inlineStr">
        <is>
          <t>MK</t>
        </is>
      </c>
      <c r="R63" s="31" t="n">
        <v>46294</v>
      </c>
    </row>
    <row r="64">
      <c r="A64" s="14" t="n">
        <v>2014</v>
      </c>
      <c r="B64" s="33" t="n">
        <v>344.19</v>
      </c>
      <c r="C64" s="33" t="n">
        <v>322.2</v>
      </c>
      <c r="P64" s="8" t="inlineStr">
        <is>
          <t>CMS SNF cost report FY20xx (data.cms.gov), Worksheet A; median re-derived</t>
        </is>
      </c>
      <c r="Q64" s="8" t="inlineStr">
        <is>
          <t>MK</t>
        </is>
      </c>
      <c r="R64" s="31" t="n">
        <v>46294</v>
      </c>
    </row>
    <row r="65">
      <c r="A65" s="14" t="n">
        <v>2015</v>
      </c>
      <c r="B65" s="33" t="n">
        <v>340.9</v>
      </c>
      <c r="C65" s="33" t="n">
        <v>322.1</v>
      </c>
      <c r="P65" s="8" t="inlineStr">
        <is>
          <t>CMS SNF cost report FY20xx (data.cms.gov), Worksheet A; median re-derived</t>
        </is>
      </c>
      <c r="Q65" s="8" t="inlineStr">
        <is>
          <t>MK</t>
        </is>
      </c>
      <c r="R65" s="31" t="n">
        <v>46294</v>
      </c>
    </row>
    <row r="66">
      <c r="A66" s="14" t="n">
        <v>2016</v>
      </c>
      <c r="B66" s="33" t="n">
        <v>358.8</v>
      </c>
      <c r="C66" s="33" t="n">
        <v>344.38</v>
      </c>
      <c r="P66" s="8" t="inlineStr">
        <is>
          <t>CMS SNF cost report FY20xx (data.cms.gov), Worksheet A; median re-derived</t>
        </is>
      </c>
      <c r="Q66" s="8" t="inlineStr">
        <is>
          <t>MK</t>
        </is>
      </c>
      <c r="R66" s="31" t="n">
        <v>46294</v>
      </c>
    </row>
    <row r="67">
      <c r="A67" s="14" t="n">
        <v>2017</v>
      </c>
      <c r="B67" s="33" t="n">
        <v>376.01</v>
      </c>
      <c r="C67" s="33" t="n">
        <v>356.1</v>
      </c>
      <c r="P67" s="8" t="inlineStr">
        <is>
          <t>CMS SNF cost report FY20xx (data.cms.gov), Worksheet A; median re-derived</t>
        </is>
      </c>
      <c r="Q67" s="8" t="inlineStr">
        <is>
          <t>MK</t>
        </is>
      </c>
      <c r="R67" s="31" t="n">
        <v>46294</v>
      </c>
    </row>
    <row r="68">
      <c r="A68" s="14" t="n">
        <v>2018</v>
      </c>
      <c r="B68" s="33" t="n">
        <v>380.99</v>
      </c>
      <c r="C68" s="33" t="n">
        <v>365.93</v>
      </c>
      <c r="P68" s="8" t="inlineStr">
        <is>
          <t>CMS SNF cost report FY20xx (data.cms.gov), Worksheet A; median re-derived</t>
        </is>
      </c>
      <c r="Q68" s="8" t="inlineStr">
        <is>
          <t>MK</t>
        </is>
      </c>
      <c r="R68" s="31" t="n">
        <v>46294</v>
      </c>
    </row>
    <row r="69">
      <c r="A69" s="14" t="n">
        <v>2019</v>
      </c>
      <c r="B69" s="33" t="n">
        <v>379.87</v>
      </c>
      <c r="C69" s="33" t="n">
        <v>373.25</v>
      </c>
      <c r="P69" s="8" t="inlineStr">
        <is>
          <t>CMS SNF cost report FY20xx (data.cms.gov), Worksheet A; median re-derived</t>
        </is>
      </c>
      <c r="Q69" s="8" t="inlineStr">
        <is>
          <t>MK</t>
        </is>
      </c>
      <c r="R69" s="31" t="n">
        <v>46294</v>
      </c>
    </row>
    <row r="70">
      <c r="A70" s="14" t="n">
        <v>2020</v>
      </c>
      <c r="B70" s="33" t="n">
        <v>428.4</v>
      </c>
      <c r="C70" s="33" t="n">
        <v>398.33</v>
      </c>
      <c r="P70" s="8" t="inlineStr">
        <is>
          <t>CMS SNF cost report FY20xx (data.cms.gov), Worksheet A; median re-derived</t>
        </is>
      </c>
      <c r="Q70" s="8" t="inlineStr">
        <is>
          <t>MK</t>
        </is>
      </c>
      <c r="R70" s="31" t="n">
        <v>46294</v>
      </c>
    </row>
    <row r="71">
      <c r="A71" s="14" t="n">
        <v>2021</v>
      </c>
      <c r="B71" s="33" t="n">
        <v>450.4</v>
      </c>
      <c r="C71" s="33" t="n">
        <v>423.44</v>
      </c>
      <c r="P71" s="8" t="inlineStr">
        <is>
          <t>CMS SNF cost report FY20xx (data.cms.gov), Worksheet A; median re-derived</t>
        </is>
      </c>
      <c r="Q71" s="8" t="inlineStr">
        <is>
          <t>MK</t>
        </is>
      </c>
      <c r="R71" s="31" t="n">
        <v>46294</v>
      </c>
    </row>
    <row r="72">
      <c r="A72" s="14" t="n">
        <v>2022</v>
      </c>
      <c r="B72" s="33" t="n">
        <v>459.47</v>
      </c>
      <c r="C72" s="33" t="n">
        <v>435.63</v>
      </c>
      <c r="P72" s="8" t="inlineStr">
        <is>
          <t>CMS SNF cost report FY20xx (data.cms.gov), Worksheet A; median re-derived</t>
        </is>
      </c>
      <c r="Q72" s="8" t="inlineStr">
        <is>
          <t>MK</t>
        </is>
      </c>
      <c r="R72" s="31" t="n">
        <v>46294</v>
      </c>
    </row>
    <row r="73">
      <c r="A73" s="14" t="n">
        <v>2023</v>
      </c>
      <c r="B73" s="33" t="n">
        <v>519.16</v>
      </c>
      <c r="C73" s="33" t="n">
        <v>461.79</v>
      </c>
      <c r="P73" s="8" t="inlineStr">
        <is>
          <t>CMS SNF cost report FY20xx (data.cms.gov), Worksheet A; median re-derived</t>
        </is>
      </c>
      <c r="Q73" s="8" t="inlineStr">
        <is>
          <t>MK</t>
        </is>
      </c>
      <c r="R73" s="31" t="n">
        <v>46294</v>
      </c>
    </row>
    <row r="74">
      <c r="A74" s="15" t="inlineStr">
        <is>
          <t>Medicaid-heavy = Medicaid (Title XIX) days at least 50% of total days, excluding complex-care Kulana Malama (CCN 125057) and Islands Skilled Nursing and Rehab (CCN 125067). All facilities = every Hawaii facility in the file. Medians on unrounded values, half up to the cent.</t>
        </is>
      </c>
    </row>
    <row r="75"/>
    <row r="76">
      <c r="A76" s="4" t="inlineStr">
        <is>
          <t>Market basket for condition (a) (CMS SNF PPS final rules, FY2024 to FY2027)</t>
        </is>
      </c>
    </row>
    <row r="77">
      <c r="A77" s="5" t="inlineStr">
        <is>
          <t>Fiscal year</t>
        </is>
      </c>
      <c r="B77" s="5" t="inlineStr">
        <is>
          <t>MB_GROSS</t>
        </is>
      </c>
      <c r="C77" s="5" t="inlineStr">
        <is>
          <t>Source</t>
        </is>
      </c>
      <c r="P77" s="5" t="inlineStr">
        <is>
          <t>Source page</t>
        </is>
      </c>
      <c r="Q77" s="5" t="inlineStr">
        <is>
          <t>Verified by</t>
        </is>
      </c>
      <c r="R77" s="5" t="inlineStr">
        <is>
          <t>Date verified</t>
        </is>
      </c>
    </row>
    <row r="78">
      <c r="A78" s="14" t="n">
        <v>2024</v>
      </c>
      <c r="B78" s="17" t="n">
        <v>0.03</v>
      </c>
      <c r="C78" t="inlineStr">
        <is>
          <t>CMS SNF PPS final rule FY2024: market basket before the forecast-error and productivity adjustments</t>
        </is>
      </c>
      <c r="P78" s="8" t="inlineStr">
        <is>
          <t>CMS-1779-F fact sheet (FY2024)</t>
        </is>
      </c>
      <c r="Q78" s="8" t="inlineStr">
        <is>
          <t>MK</t>
        </is>
      </c>
      <c r="R78" s="31" t="n">
        <v>46294</v>
      </c>
    </row>
    <row r="79">
      <c r="A79" s="14" t="n">
        <v>2025</v>
      </c>
      <c r="B79" s="17" t="n">
        <v>0.03</v>
      </c>
      <c r="C79" t="inlineStr">
        <is>
          <t>CMS SNF PPS final rule FY2025: market basket before the forecast-error and productivity adjustments</t>
        </is>
      </c>
      <c r="P79" s="8" t="inlineStr">
        <is>
          <t>CMS-1802-F fact sheet (FY2025)</t>
        </is>
      </c>
      <c r="Q79" s="8" t="inlineStr">
        <is>
          <t>MK</t>
        </is>
      </c>
      <c r="R79" s="31" t="n">
        <v>46294</v>
      </c>
    </row>
    <row r="80">
      <c r="A80" s="14" t="n">
        <v>2026</v>
      </c>
      <c r="B80" s="17" t="n">
        <v>0.033</v>
      </c>
      <c r="C80" t="inlineStr">
        <is>
          <t>CMS SNF PPS final rule FY2026: market basket before the forecast-error and productivity adjustments</t>
        </is>
      </c>
      <c r="P80" s="8" t="inlineStr">
        <is>
          <t>CMS-1827-F fact sheet (FY2026)</t>
        </is>
      </c>
      <c r="Q80" s="8" t="inlineStr">
        <is>
          <t>MK</t>
        </is>
      </c>
      <c r="R80" s="31" t="n">
        <v>46294</v>
      </c>
    </row>
    <row r="81">
      <c r="A81" s="14" t="n">
        <v>2027</v>
      </c>
      <c r="B81" s="17" t="n">
        <v>0.033</v>
      </c>
      <c r="C81" t="inlineStr">
        <is>
          <t>CMS SNF PPS final rule FY2027: market basket before the forecast-error and productivity adjustments</t>
        </is>
      </c>
      <c r="P81" s="8" t="inlineStr">
        <is>
          <t>CMS-1843-F fact sheet (FY2027)</t>
        </is>
      </c>
      <c r="Q81" s="8" t="inlineStr">
        <is>
          <t>MK</t>
        </is>
      </c>
      <c r="R81" s="31" t="n">
        <v>46294</v>
      </c>
    </row>
    <row r="82">
      <c r="A82" s="15" t="inlineStr">
        <is>
          <t>CMS SNF PPS final rule fact sheets, FY2024 to FY2027. A national Medicare index standing in for Hawaii nursing-home cost growth.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7" min="1" max="1"/>
    <col width="13" customWidth="1" style="7" min="2" max="2"/>
    <col width="13" customWidth="1" style="7" min="3" max="3"/>
    <col width="13" customWidth="1" style="7" min="4" max="4"/>
    <col width="13" customWidth="1" style="7" min="5" max="5"/>
    <col width="13" customWidth="1" style="7" min="6" max="6"/>
    <col width="13" customWidth="1" style="7" min="7" max="7"/>
    <col width="13" customWidth="1" style="7" min="8" max="8"/>
    <col width="13" customWidth="1" style="7" min="9" max="9"/>
    <col width="13" customWidth="1" style="7" min="10" max="10"/>
    <col width="13" customWidth="1" style="7" min="11" max="11"/>
    <col width="13" customWidth="1" style="7" min="12" max="12"/>
    <col width="13" customWidth="1" style="7" min="13" max="13"/>
    <col width="13" customWidth="1" style="7" min="14" max="14"/>
    <col width="13" customWidth="1" style="7" min="15" max="15"/>
    <col width="13" customWidth="1" style="7" min="16" max="16"/>
    <col width="13" customWidth="1" style="7" min="17" max="17"/>
    <col width="13" customWidth="1" style="7" min="18" max="18"/>
    <col width="13" customWidth="1" style="7" min="19" max="19"/>
    <col width="13" customWidth="1" style="7" min="20" max="20"/>
    <col width="13" customWidth="1" style="7" min="21" max="21"/>
  </cols>
  <sheetData>
    <row r="1">
      <c r="A1" s="1" t="inlineStr">
        <is>
          <t>Waitlist: days per patient against the benchmark, excess days, beds and reason shares, 2017 to 2024</t>
        </is>
      </c>
    </row>
    <row r="3" ht="45" customHeight="1" s="7">
      <c r="A3" s="5" t="inlineStr">
        <is>
          <t>Year</t>
        </is>
      </c>
      <c r="B3" s="5" t="inlineStr">
        <is>
          <t>Days per patient</t>
        </is>
      </c>
      <c r="C3" s="5" t="inlineStr">
        <is>
          <t>Benchmark days (patients x 14)</t>
        </is>
      </c>
      <c r="D3" s="5" t="inlineStr">
        <is>
          <t>Signed gap per patient (days)</t>
        </is>
      </c>
      <c r="E3" s="5" t="inlineStr">
        <is>
          <t>Waitlist days</t>
        </is>
      </c>
      <c r="F3" s="5" t="inlineStr">
        <is>
          <t>Excess days (floored at 0)</t>
        </is>
      </c>
      <c r="G3" s="5" t="inlineStr">
        <is>
          <t>Days within the benchmark</t>
        </is>
      </c>
      <c r="H3" s="5" t="inlineStr">
        <is>
          <t>Excess share of days</t>
        </is>
      </c>
      <c r="I3" s="5" t="inlineStr">
        <is>
          <t>Days in year</t>
        </is>
      </c>
      <c r="J3" s="5" t="inlineStr">
        <is>
          <t>Excess beds (average day)</t>
        </is>
      </c>
      <c r="K3" s="5" t="inlineStr">
        <is>
          <t>Meets benchmark</t>
        </is>
      </c>
      <c r="L3" s="5" t="inlineStr">
        <is>
          <t>Reasons total (F to L)</t>
        </is>
      </c>
      <c r="M3" s="5" t="inlineStr">
        <is>
          <t>Share: No bed</t>
        </is>
      </c>
      <c r="N3" s="5" t="inlineStr">
        <is>
          <t>Share: Behavior</t>
        </is>
      </c>
      <c r="O3" s="5" t="inlineStr">
        <is>
          <t>Share: Special care</t>
        </is>
      </c>
      <c r="P3" s="5" t="inlineStr">
        <is>
          <t>Share: Financial</t>
        </is>
      </c>
      <c r="Q3" s="5" t="inlineStr">
        <is>
          <t>Share: Guardianship</t>
        </is>
      </c>
      <c r="R3" s="5" t="inlineStr">
        <is>
          <t>Share: PASARR</t>
        </is>
      </c>
      <c r="S3" s="5" t="inlineStr">
        <is>
          <t>Share: Other</t>
        </is>
      </c>
      <c r="T3" s="5" t="inlineStr">
        <is>
          <t>Unstaffed LTC beds, Dec 31</t>
        </is>
      </c>
      <c r="U3" s="5" t="inlineStr">
        <is>
          <t>COVID flag</t>
        </is>
      </c>
    </row>
    <row r="4">
      <c r="A4" s="14">
        <f>INDEX(YEAR,1)</f>
        <v>2017</v>
      </c>
      <c r="B4" s="18">
        <f>INDEX(WL_DAYS,1)/INDEX(WL_PATIENTS,1)</f>
        <v>9.935348310974625</v>
      </c>
      <c r="C4" s="3">
        <f>INDEX(WL_PATIENTS,1)*BENCH_DAYS</f>
        <v>86618.0</v>
      </c>
      <c r="D4" s="18">
        <f>INDEX(DAYS_PER_PT,1)-BENCH_DAYS</f>
        <v>-4.064651689025375</v>
      </c>
      <c r="E4" s="3">
        <f>INDEX(WL_DAYS,1)</f>
        <v>61470</v>
      </c>
      <c r="F4" s="3">
        <f>MAX(0,INDEX(WL_DAYS,1)-INDEX(BENCH_TOTAL,1))</f>
        <v>0</v>
      </c>
      <c r="G4" s="3">
        <f>INDEX(WL_DAYS,1)-INDEX(EXCESS_DAYS,1)</f>
        <v>61470.0</v>
      </c>
      <c r="H4" s="19">
        <f>INDEX(EXCESS_DAYS,1)/INDEX(WL_DAYS,1)</f>
        <v>0.0</v>
      </c>
      <c r="I4" s="3">
        <f>DATE(INDEX(YEAR,1)+1,1,1)-DATE(INDEX(YEAR,1),1,1)</f>
        <v>365.0</v>
      </c>
      <c r="J4" s="18">
        <f>INDEX(EXCESS_DAYS,1)/INDEX(DAYS_IN_YEAR,1)</f>
        <v>0.0</v>
      </c>
      <c r="K4" t="b">
        <f>INDEX(DAYS_PER_PT,1)&lt;=BENCH_DAYS</f>
        <v>1</v>
      </c>
      <c r="L4" s="3">
        <f>INDEX(REASON_NO_BED,1)+INDEX(REASON_BEHAVIOR,1)+INDEX(REASON_SPECIAL_CARE,1)+INDEX(REASON_FINANCIAL,1)+INDEX(REASON_GUARDIANSHIP,1)+INDEX(REASON_PASARR,1)+INDEX(REASON_OTHER,1)</f>
        <v>120.0</v>
      </c>
      <c r="M4" s="19">
        <f>INDEX(REASON_NO_BED,1)/INDEX(REASON_SUM,1)</f>
        <v>0.325</v>
      </c>
      <c r="N4" s="19">
        <f>INDEX(REASON_BEHAVIOR,1)/INDEX(REASON_SUM,1)</f>
        <v>0.13333333333333333</v>
      </c>
      <c r="O4" s="19">
        <f>INDEX(REASON_SPECIAL_CARE,1)/INDEX(REASON_SUM,1)</f>
        <v>0.19166666666666668</v>
      </c>
      <c r="P4" s="19">
        <f>INDEX(REASON_FINANCIAL,1)/INDEX(REASON_SUM,1)</f>
        <v>0.15</v>
      </c>
      <c r="Q4" s="19">
        <f>INDEX(REASON_GUARDIANSHIP,1)/INDEX(REASON_SUM,1)</f>
        <v>0.09166666666666666</v>
      </c>
      <c r="R4" s="19">
        <f>INDEX(REASON_PASARR,1)/INDEX(REASON_SUM,1)</f>
        <v>0.016666666666666666</v>
      </c>
      <c r="S4" s="19">
        <f>INDEX(REASON_OTHER,1)/INDEX(REASON_SUM,1)</f>
        <v>0.09166666666666666</v>
      </c>
      <c r="T4" s="3">
        <f>INDEX(LTC_UNSTAFFED,1)</f>
        <v>128</v>
      </c>
      <c r="U4" t="b">
        <f>COUNTIF(COVID_YEARS,INDEX(YEAR,1))&gt;0</f>
        <v>0</v>
      </c>
    </row>
    <row r="5">
      <c r="A5" s="14">
        <f>INDEX(YEAR,2)</f>
        <v>2018</v>
      </c>
      <c r="B5" s="18">
        <f>INDEX(WL_DAYS,2)/INDEX(WL_PATIENTS,2)</f>
        <v>12.484132980732905</v>
      </c>
      <c r="C5" s="3">
        <f>INDEX(WL_PATIENTS,2)*BENCH_DAYS</f>
        <v>74116.0</v>
      </c>
      <c r="D5" s="18">
        <f>INDEX(DAYS_PER_PT,2)-BENCH_DAYS</f>
        <v>-1.5158670192670947</v>
      </c>
      <c r="E5" s="3">
        <f>INDEX(WL_DAYS,2)</f>
        <v>66091</v>
      </c>
      <c r="F5" s="3">
        <f>MAX(0,INDEX(WL_DAYS,2)-INDEX(BENCH_TOTAL,2))</f>
        <v>0</v>
      </c>
      <c r="G5" s="3">
        <f>INDEX(WL_DAYS,2)-INDEX(EXCESS_DAYS,2)</f>
        <v>66091.0</v>
      </c>
      <c r="H5" s="19">
        <f>INDEX(EXCESS_DAYS,2)/INDEX(WL_DAYS,2)</f>
        <v>0.0</v>
      </c>
      <c r="I5" s="3">
        <f>DATE(INDEX(YEAR,2)+1,1,1)-DATE(INDEX(YEAR,2),1,1)</f>
        <v>365.0</v>
      </c>
      <c r="J5" s="18">
        <f>INDEX(EXCESS_DAYS,2)/INDEX(DAYS_IN_YEAR,2)</f>
        <v>0.0</v>
      </c>
      <c r="K5" t="b">
        <f>INDEX(DAYS_PER_PT,2)&lt;=BENCH_DAYS</f>
        <v>1</v>
      </c>
      <c r="L5" s="3">
        <f>INDEX(REASON_NO_BED,2)+INDEX(REASON_BEHAVIOR,2)+INDEX(REASON_SPECIAL_CARE,2)+INDEX(REASON_FINANCIAL,2)+INDEX(REASON_GUARDIANSHIP,2)+INDEX(REASON_PASARR,2)+INDEX(REASON_OTHER,2)</f>
        <v>171.0</v>
      </c>
      <c r="M5" s="19">
        <f>INDEX(REASON_NO_BED,2)/INDEX(REASON_SUM,2)</f>
        <v>0.3333333333333333</v>
      </c>
      <c r="N5" s="19">
        <f>INDEX(REASON_BEHAVIOR,2)/INDEX(REASON_SUM,2)</f>
        <v>0.1695906432748538</v>
      </c>
      <c r="O5" s="19">
        <f>INDEX(REASON_SPECIAL_CARE,2)/INDEX(REASON_SUM,2)</f>
        <v>0.09941520467836257</v>
      </c>
      <c r="P5" s="19">
        <f>INDEX(REASON_FINANCIAL,2)/INDEX(REASON_SUM,2)</f>
        <v>0.18128654970760233</v>
      </c>
      <c r="Q5" s="19">
        <f>INDEX(REASON_GUARDIANSHIP,2)/INDEX(REASON_SUM,2)</f>
        <v>0.10526315789473684</v>
      </c>
      <c r="R5" s="19">
        <f>INDEX(REASON_PASARR,2)/INDEX(REASON_SUM,2)</f>
        <v>0.011695906432748537</v>
      </c>
      <c r="S5" s="19">
        <f>INDEX(REASON_OTHER,2)/INDEX(REASON_SUM,2)</f>
        <v>0.09941520467836257</v>
      </c>
      <c r="T5" s="3">
        <f>INDEX(LTC_UNSTAFFED,2)</f>
        <v>160</v>
      </c>
      <c r="U5" t="b">
        <f>COUNTIF(COVID_YEARS,INDEX(YEAR,2))&gt;0</f>
        <v>0</v>
      </c>
    </row>
    <row r="6">
      <c r="A6" s="14">
        <f>INDEX(YEAR,3)</f>
        <v>2019</v>
      </c>
      <c r="B6" s="18">
        <f>INDEX(WL_DAYS,3)/INDEX(WL_PATIENTS,3)</f>
        <v>16.4741127348643</v>
      </c>
      <c r="C6" s="3">
        <f>INDEX(WL_PATIENTS,3)*BENCH_DAYS</f>
        <v>67060.0</v>
      </c>
      <c r="D6" s="18">
        <f>INDEX(DAYS_PER_PT,3)-BENCH_DAYS</f>
        <v>2.474112734864299</v>
      </c>
      <c r="E6" s="3">
        <f>INDEX(WL_DAYS,3)</f>
        <v>78911</v>
      </c>
      <c r="F6" s="3">
        <f>MAX(0,INDEX(WL_DAYS,3)-INDEX(BENCH_TOTAL,3))</f>
        <v>11851.0</v>
      </c>
      <c r="G6" s="3">
        <f>INDEX(WL_DAYS,3)-INDEX(EXCESS_DAYS,3)</f>
        <v>67060.0</v>
      </c>
      <c r="H6" s="19">
        <f>INDEX(EXCESS_DAYS,3)/INDEX(WL_DAYS,3)</f>
        <v>0.1501818504391023</v>
      </c>
      <c r="I6" s="3">
        <f>DATE(INDEX(YEAR,3)+1,1,1)-DATE(INDEX(YEAR,3),1,1)</f>
        <v>365.0</v>
      </c>
      <c r="J6" s="18">
        <f>INDEX(EXCESS_DAYS,3)/INDEX(DAYS_IN_YEAR,3)</f>
        <v>32.46849315068493</v>
      </c>
      <c r="K6" t="b">
        <f>INDEX(DAYS_PER_PT,3)&lt;=BENCH_DAYS</f>
        <v>0</v>
      </c>
      <c r="L6" s="3">
        <f>INDEX(REASON_NO_BED,3)+INDEX(REASON_BEHAVIOR,3)+INDEX(REASON_SPECIAL_CARE,3)+INDEX(REASON_FINANCIAL,3)+INDEX(REASON_GUARDIANSHIP,3)+INDEX(REASON_PASARR,3)+INDEX(REASON_OTHER,3)</f>
        <v>184.0</v>
      </c>
      <c r="M6" s="19">
        <f>INDEX(REASON_NO_BED,3)/INDEX(REASON_SUM,3)</f>
        <v>0.391304347826087</v>
      </c>
      <c r="N6" s="19">
        <f>INDEX(REASON_BEHAVIOR,3)/INDEX(REASON_SUM,3)</f>
        <v>0.14673913043478262</v>
      </c>
      <c r="O6" s="19">
        <f>INDEX(REASON_SPECIAL_CARE,3)/INDEX(REASON_SUM,3)</f>
        <v>0.11413043478260869</v>
      </c>
      <c r="P6" s="19">
        <f>INDEX(REASON_FINANCIAL,3)/INDEX(REASON_SUM,3)</f>
        <v>0.17391304347826086</v>
      </c>
      <c r="Q6" s="19">
        <f>INDEX(REASON_GUARDIANSHIP,3)/INDEX(REASON_SUM,3)</f>
        <v>0.14130434782608695</v>
      </c>
      <c r="R6" s="19">
        <f>INDEX(REASON_PASARR,3)/INDEX(REASON_SUM,3)</f>
        <v>0.0</v>
      </c>
      <c r="S6" s="19">
        <f>INDEX(REASON_OTHER,3)/INDEX(REASON_SUM,3)</f>
        <v>0.03260869565217391</v>
      </c>
      <c r="T6" s="3">
        <f>INDEX(LTC_UNSTAFFED,3)</f>
        <v>248</v>
      </c>
      <c r="U6" t="b">
        <f>COUNTIF(COVID_YEARS,INDEX(YEAR,3))&gt;0</f>
        <v>0</v>
      </c>
    </row>
    <row r="7">
      <c r="A7" s="14">
        <f>INDEX(YEAR,4)</f>
        <v>2020</v>
      </c>
      <c r="B7" s="18">
        <f>INDEX(WL_DAYS,4)/INDEX(WL_PATIENTS,4)</f>
        <v>12.584449813309906</v>
      </c>
      <c r="C7" s="3">
        <f>INDEX(WL_PATIENTS,4)*BENCH_DAYS</f>
        <v>63742.0</v>
      </c>
      <c r="D7" s="18">
        <f>INDEX(DAYS_PER_PT,4)-BENCH_DAYS</f>
        <v>-1.4155501866900941</v>
      </c>
      <c r="E7" s="3">
        <f>INDEX(WL_DAYS,4)</f>
        <v>57297</v>
      </c>
      <c r="F7" s="3">
        <f>MAX(0,INDEX(WL_DAYS,4)-INDEX(BENCH_TOTAL,4))</f>
        <v>0</v>
      </c>
      <c r="G7" s="3">
        <f>INDEX(WL_DAYS,4)-INDEX(EXCESS_DAYS,4)</f>
        <v>57297.0</v>
      </c>
      <c r="H7" s="19">
        <f>INDEX(EXCESS_DAYS,4)/INDEX(WL_DAYS,4)</f>
        <v>0.0</v>
      </c>
      <c r="I7" s="3">
        <f>DATE(INDEX(YEAR,4)+1,1,1)-DATE(INDEX(YEAR,4),1,1)</f>
        <v>366.0</v>
      </c>
      <c r="J7" s="18">
        <f>INDEX(EXCESS_DAYS,4)/INDEX(DAYS_IN_YEAR,4)</f>
        <v>0.0</v>
      </c>
      <c r="K7" t="b">
        <f>INDEX(DAYS_PER_PT,4)&lt;=BENCH_DAYS</f>
        <v>1</v>
      </c>
      <c r="L7" s="3">
        <f>INDEX(REASON_NO_BED,4)+INDEX(REASON_BEHAVIOR,4)+INDEX(REASON_SPECIAL_CARE,4)+INDEX(REASON_FINANCIAL,4)+INDEX(REASON_GUARDIANSHIP,4)+INDEX(REASON_PASARR,4)+INDEX(REASON_OTHER,4)</f>
        <v>144.0</v>
      </c>
      <c r="M7" s="19">
        <f>INDEX(REASON_NO_BED,4)/INDEX(REASON_SUM,4)</f>
        <v>0.2847222222222222</v>
      </c>
      <c r="N7" s="19">
        <f>INDEX(REASON_BEHAVIOR,4)/INDEX(REASON_SUM,4)</f>
        <v>0.16666666666666666</v>
      </c>
      <c r="O7" s="19">
        <f>INDEX(REASON_SPECIAL_CARE,4)/INDEX(REASON_SUM,4)</f>
        <v>0.1527777777777778</v>
      </c>
      <c r="P7" s="19">
        <f>INDEX(REASON_FINANCIAL,4)/INDEX(REASON_SUM,4)</f>
        <v>0.20833333333333334</v>
      </c>
      <c r="Q7" s="19">
        <f>INDEX(REASON_GUARDIANSHIP,4)/INDEX(REASON_SUM,4)</f>
        <v>0.10416666666666667</v>
      </c>
      <c r="R7" s="19">
        <f>INDEX(REASON_PASARR,4)/INDEX(REASON_SUM,4)</f>
        <v>0.0</v>
      </c>
      <c r="S7" s="19">
        <f>INDEX(REASON_OTHER,4)/INDEX(REASON_SUM,4)</f>
        <v>0.08333333333333333</v>
      </c>
      <c r="T7" s="3">
        <f>INDEX(LTC_UNSTAFFED,4)</f>
        <v>462</v>
      </c>
      <c r="U7" t="b">
        <f>COUNTIF(COVID_YEARS,INDEX(YEAR,4))&gt;0</f>
        <v>1</v>
      </c>
    </row>
    <row r="8">
      <c r="A8" s="14">
        <f>INDEX(YEAR,5)</f>
        <v>2021</v>
      </c>
      <c r="B8" s="18">
        <f>INDEX(WL_DAYS,5)/INDEX(WL_PATIENTS,5)</f>
        <v>12.187943982139233</v>
      </c>
      <c r="C8" s="3">
        <f>INDEX(WL_PATIENTS,5)*BENCH_DAYS</f>
        <v>68978.0</v>
      </c>
      <c r="D8" s="18">
        <f>INDEX(DAYS_PER_PT,5)-BENCH_DAYS</f>
        <v>-1.8120560178607672</v>
      </c>
      <c r="E8" s="3">
        <f>INDEX(WL_DAYS,5)</f>
        <v>60050</v>
      </c>
      <c r="F8" s="3">
        <f>MAX(0,INDEX(WL_DAYS,5)-INDEX(BENCH_TOTAL,5))</f>
        <v>0</v>
      </c>
      <c r="G8" s="3">
        <f>INDEX(WL_DAYS,5)-INDEX(EXCESS_DAYS,5)</f>
        <v>60050.0</v>
      </c>
      <c r="H8" s="19">
        <f>INDEX(EXCESS_DAYS,5)/INDEX(WL_DAYS,5)</f>
        <v>0.0</v>
      </c>
      <c r="I8" s="3">
        <f>DATE(INDEX(YEAR,5)+1,1,1)-DATE(INDEX(YEAR,5),1,1)</f>
        <v>365.0</v>
      </c>
      <c r="J8" s="18">
        <f>INDEX(EXCESS_DAYS,5)/INDEX(DAYS_IN_YEAR,5)</f>
        <v>0.0</v>
      </c>
      <c r="K8" t="b">
        <f>INDEX(DAYS_PER_PT,5)&lt;=BENCH_DAYS</f>
        <v>1</v>
      </c>
      <c r="L8" s="3">
        <f>INDEX(REASON_NO_BED,5)+INDEX(REASON_BEHAVIOR,5)+INDEX(REASON_SPECIAL_CARE,5)+INDEX(REASON_FINANCIAL,5)+INDEX(REASON_GUARDIANSHIP,5)+INDEX(REASON_PASARR,5)+INDEX(REASON_OTHER,5)</f>
        <v>189.0</v>
      </c>
      <c r="M8" s="19">
        <f>INDEX(REASON_NO_BED,5)/INDEX(REASON_SUM,5)</f>
        <v>0.26455026455026454</v>
      </c>
      <c r="N8" s="19">
        <f>INDEX(REASON_BEHAVIOR,5)/INDEX(REASON_SUM,5)</f>
        <v>0.19047619047619047</v>
      </c>
      <c r="O8" s="19">
        <f>INDEX(REASON_SPECIAL_CARE,5)/INDEX(REASON_SUM,5)</f>
        <v>0.1164021164021164</v>
      </c>
      <c r="P8" s="19">
        <f>INDEX(REASON_FINANCIAL,5)/INDEX(REASON_SUM,5)</f>
        <v>0.2275132275132275</v>
      </c>
      <c r="Q8" s="19">
        <f>INDEX(REASON_GUARDIANSHIP,5)/INDEX(REASON_SUM,5)</f>
        <v>0.10582010582010581</v>
      </c>
      <c r="R8" s="19">
        <f>INDEX(REASON_PASARR,5)/INDEX(REASON_SUM,5)</f>
        <v>0.0</v>
      </c>
      <c r="S8" s="19">
        <f>INDEX(REASON_OTHER,5)/INDEX(REASON_SUM,5)</f>
        <v>0.09523809523809523</v>
      </c>
      <c r="T8" s="3">
        <f>INDEX(LTC_UNSTAFFED,5)</f>
        <v>614</v>
      </c>
      <c r="U8" t="b">
        <f>COUNTIF(COVID_YEARS,INDEX(YEAR,5))&gt;0</f>
        <v>1</v>
      </c>
    </row>
    <row r="9">
      <c r="A9" s="14">
        <f>INDEX(YEAR,6)</f>
        <v>2022</v>
      </c>
      <c r="B9" s="18">
        <f>INDEX(WL_DAYS,6)/INDEX(WL_PATIENTS,6)</f>
        <v>21.34229828850856</v>
      </c>
      <c r="C9" s="3">
        <f>INDEX(WL_PATIENTS,6)*BENCH_DAYS</f>
        <v>51534.0</v>
      </c>
      <c r="D9" s="18">
        <f>INDEX(DAYS_PER_PT,6)-BENCH_DAYS</f>
        <v>7.342298288508559</v>
      </c>
      <c r="E9" s="3">
        <f>INDEX(WL_DAYS,6)</f>
        <v>78561</v>
      </c>
      <c r="F9" s="3">
        <f>MAX(0,INDEX(WL_DAYS,6)-INDEX(BENCH_TOTAL,6))</f>
        <v>27027.0</v>
      </c>
      <c r="G9" s="3">
        <f>INDEX(WL_DAYS,6)-INDEX(EXCESS_DAYS,6)</f>
        <v>51534.0</v>
      </c>
      <c r="H9" s="19">
        <f>INDEX(EXCESS_DAYS,6)/INDEX(WL_DAYS,6)</f>
        <v>0.3440256615878107</v>
      </c>
      <c r="I9" s="3">
        <f>DATE(INDEX(YEAR,6)+1,1,1)-DATE(INDEX(YEAR,6),1,1)</f>
        <v>365.0</v>
      </c>
      <c r="J9" s="18">
        <f>INDEX(EXCESS_DAYS,6)/INDEX(DAYS_IN_YEAR,6)</f>
        <v>74.04657534246576</v>
      </c>
      <c r="K9" t="b">
        <f>INDEX(DAYS_PER_PT,6)&lt;=BENCH_DAYS</f>
        <v>0</v>
      </c>
      <c r="L9" s="3">
        <f>INDEX(REASON_NO_BED,6)+INDEX(REASON_BEHAVIOR,6)+INDEX(REASON_SPECIAL_CARE,6)+INDEX(REASON_FINANCIAL,6)+INDEX(REASON_GUARDIANSHIP,6)+INDEX(REASON_PASARR,6)+INDEX(REASON_OTHER,6)</f>
        <v>250.0</v>
      </c>
      <c r="M9" s="19">
        <f>INDEX(REASON_NO_BED,6)/INDEX(REASON_SUM,6)</f>
        <v>0.228</v>
      </c>
      <c r="N9" s="19">
        <f>INDEX(REASON_BEHAVIOR,6)/INDEX(REASON_SUM,6)</f>
        <v>0.14</v>
      </c>
      <c r="O9" s="19">
        <f>INDEX(REASON_SPECIAL_CARE,6)/INDEX(REASON_SUM,6)</f>
        <v>0.156</v>
      </c>
      <c r="P9" s="19">
        <f>INDEX(REASON_FINANCIAL,6)/INDEX(REASON_SUM,6)</f>
        <v>0.3</v>
      </c>
      <c r="Q9" s="19">
        <f>INDEX(REASON_GUARDIANSHIP,6)/INDEX(REASON_SUM,6)</f>
        <v>0.116</v>
      </c>
      <c r="R9" s="19">
        <f>INDEX(REASON_PASARR,6)/INDEX(REASON_SUM,6)</f>
        <v>0.02</v>
      </c>
      <c r="S9" s="19">
        <f>INDEX(REASON_OTHER,6)/INDEX(REASON_SUM,6)</f>
        <v>0.04</v>
      </c>
      <c r="T9" s="3">
        <f>INDEX(LTC_UNSTAFFED,6)</f>
        <v>661</v>
      </c>
      <c r="U9" t="b">
        <f>COUNTIF(COVID_YEARS,INDEX(YEAR,6))&gt;0</f>
        <v>0</v>
      </c>
    </row>
    <row r="10">
      <c r="A10" s="14">
        <f>INDEX(YEAR,7)</f>
        <v>2023</v>
      </c>
      <c r="B10" s="18">
        <f>INDEX(WL_DAYS,7)/INDEX(WL_PATIENTS,7)</f>
        <v>23.018559556786702</v>
      </c>
      <c r="C10" s="3">
        <f>INDEX(WL_PATIENTS,7)*BENCH_DAYS</f>
        <v>50540.0</v>
      </c>
      <c r="D10" s="18">
        <f>INDEX(DAYS_PER_PT,7)-BENCH_DAYS</f>
        <v>9.018559556786702</v>
      </c>
      <c r="E10" s="3">
        <f>INDEX(WL_DAYS,7)</f>
        <v>83097</v>
      </c>
      <c r="F10" s="3">
        <f>MAX(0,INDEX(WL_DAYS,7)-INDEX(BENCH_TOTAL,7))</f>
        <v>32557.0</v>
      </c>
      <c r="G10" s="3">
        <f>INDEX(WL_DAYS,7)-INDEX(EXCESS_DAYS,7)</f>
        <v>50540.0</v>
      </c>
      <c r="H10" s="19">
        <f>INDEX(EXCESS_DAYS,7)/INDEX(WL_DAYS,7)</f>
        <v>0.3917951309914919</v>
      </c>
      <c r="I10" s="3">
        <f>DATE(INDEX(YEAR,7)+1,1,1)-DATE(INDEX(YEAR,7),1,1)</f>
        <v>365.0</v>
      </c>
      <c r="J10" s="18">
        <f>INDEX(EXCESS_DAYS,7)/INDEX(DAYS_IN_YEAR,7)</f>
        <v>89.1972602739726</v>
      </c>
      <c r="K10" t="b">
        <f>INDEX(DAYS_PER_PT,7)&lt;=BENCH_DAYS</f>
        <v>0</v>
      </c>
      <c r="L10" s="3">
        <f>INDEX(REASON_NO_BED,7)+INDEX(REASON_BEHAVIOR,7)+INDEX(REASON_SPECIAL_CARE,7)+INDEX(REASON_FINANCIAL,7)+INDEX(REASON_GUARDIANSHIP,7)+INDEX(REASON_PASARR,7)+INDEX(REASON_OTHER,7)</f>
        <v>191.0</v>
      </c>
      <c r="M10" s="19">
        <f>INDEX(REASON_NO_BED,7)/INDEX(REASON_SUM,7)</f>
        <v>0.2198952879581152</v>
      </c>
      <c r="N10" s="19">
        <f>INDEX(REASON_BEHAVIOR,7)/INDEX(REASON_SUM,7)</f>
        <v>0.2513089005235602</v>
      </c>
      <c r="O10" s="19">
        <f>INDEX(REASON_SPECIAL_CARE,7)/INDEX(REASON_SUM,7)</f>
        <v>0.13612565445026178</v>
      </c>
      <c r="P10" s="19">
        <f>INDEX(REASON_FINANCIAL,7)/INDEX(REASON_SUM,7)</f>
        <v>0.2356020942408377</v>
      </c>
      <c r="Q10" s="19">
        <f>INDEX(REASON_GUARDIANSHIP,7)/INDEX(REASON_SUM,7)</f>
        <v>0.14659685863874344</v>
      </c>
      <c r="R10" s="19">
        <f>INDEX(REASON_PASARR,7)/INDEX(REASON_SUM,7)</f>
        <v>0.005235602094240838</v>
      </c>
      <c r="S10" s="19">
        <f>INDEX(REASON_OTHER,7)/INDEX(REASON_SUM,7)</f>
        <v>0.005235602094240838</v>
      </c>
      <c r="T10" s="3">
        <f>INDEX(LTC_UNSTAFFED,7)</f>
        <v>510</v>
      </c>
      <c r="U10" t="b">
        <f>COUNTIF(COVID_YEARS,INDEX(YEAR,7))&gt;0</f>
        <v>0</v>
      </c>
    </row>
    <row r="11">
      <c r="A11" s="14">
        <f>INDEX(YEAR,8)</f>
        <v>2024</v>
      </c>
      <c r="B11" s="18">
        <f>INDEX(WL_DAYS,8)/INDEX(WL_PATIENTS,8)</f>
        <v>19.492795389048993</v>
      </c>
      <c r="C11" s="3">
        <f>INDEX(WL_PATIENTS,8)*BENCH_DAYS</f>
        <v>43722.0</v>
      </c>
      <c r="D11" s="18">
        <f>INDEX(DAYS_PER_PT,8)-BENCH_DAYS</f>
        <v>5.492795389048993</v>
      </c>
      <c r="E11" s="3">
        <f>INDEX(WL_DAYS,8)</f>
        <v>60876</v>
      </c>
      <c r="F11" s="3">
        <f>MAX(0,INDEX(WL_DAYS,8)-INDEX(BENCH_TOTAL,8))</f>
        <v>17154.0</v>
      </c>
      <c r="G11" s="3">
        <f>INDEX(WL_DAYS,8)-INDEX(EXCESS_DAYS,8)</f>
        <v>43722.0</v>
      </c>
      <c r="H11" s="19">
        <f>INDEX(EXCESS_DAYS,8)/INDEX(WL_DAYS,8)</f>
        <v>0.281785925487877</v>
      </c>
      <c r="I11" s="3">
        <f>DATE(INDEX(YEAR,8)+1,1,1)-DATE(INDEX(YEAR,8),1,1)</f>
        <v>366.0</v>
      </c>
      <c r="J11" s="18">
        <f>INDEX(EXCESS_DAYS,8)/INDEX(DAYS_IN_YEAR,8)</f>
        <v>46.868852459016395</v>
      </c>
      <c r="K11" t="b">
        <f>INDEX(DAYS_PER_PT,8)&lt;=BENCH_DAYS</f>
        <v>0</v>
      </c>
      <c r="L11" s="3">
        <f>INDEX(REASON_NO_BED,8)+INDEX(REASON_BEHAVIOR,8)+INDEX(REASON_SPECIAL_CARE,8)+INDEX(REASON_FINANCIAL,8)+INDEX(REASON_GUARDIANSHIP,8)+INDEX(REASON_PASARR,8)+INDEX(REASON_OTHER,8)</f>
        <v>173.0</v>
      </c>
      <c r="M11" s="19">
        <f>INDEX(REASON_NO_BED,8)/INDEX(REASON_SUM,8)</f>
        <v>0.1791907514450867</v>
      </c>
      <c r="N11" s="19">
        <f>INDEX(REASON_BEHAVIOR,8)/INDEX(REASON_SUM,8)</f>
        <v>0.1676300578034682</v>
      </c>
      <c r="O11" s="19">
        <f>INDEX(REASON_SPECIAL_CARE,8)/INDEX(REASON_SUM,8)</f>
        <v>0.10404624277456648</v>
      </c>
      <c r="P11" s="19">
        <f>INDEX(REASON_FINANCIAL,8)/INDEX(REASON_SUM,8)</f>
        <v>0.3468208092485549</v>
      </c>
      <c r="Q11" s="19">
        <f>INDEX(REASON_GUARDIANSHIP,8)/INDEX(REASON_SUM,8)</f>
        <v>0.1791907514450867</v>
      </c>
      <c r="R11" s="19">
        <f>INDEX(REASON_PASARR,8)/INDEX(REASON_SUM,8)</f>
        <v>0.0</v>
      </c>
      <c r="S11" s="19">
        <f>INDEX(REASON_OTHER,8)/INDEX(REASON_SUM,8)</f>
        <v>0.023121387283236993</v>
      </c>
      <c r="T11" s="3">
        <f>INDEX(LTC_UNSTAFFED,8)</f>
        <v>548</v>
      </c>
      <c r="U11" t="b">
        <f>COUNTIF(COVID_YEARS,INDEX(YEAR,8))&gt;0</f>
        <v>0</v>
      </c>
    </row>
    <row r="13">
      <c r="A13" s="4" t="inlineStr">
        <is>
          <t>Flags and notes</t>
        </is>
      </c>
    </row>
    <row r="14">
      <c r="A14" s="2" t="inlineStr">
        <is>
          <t>FLAG_2017_INCOMPLETE</t>
        </is>
      </c>
      <c r="B14" t="b">
        <f>INDEX(REASON_SUM,1)&lt;INDEX(DEC31_TOTAL,1)</f>
        <v>1</v>
      </c>
      <c r="C14" s="15" t="inlineStr">
        <is>
          <t>2017 reasons recorded for 120 of 157 patients on Dec 31; its shares use the recorded reasons only.</t>
        </is>
      </c>
    </row>
    <row r="15">
      <c r="A15" s="2" t="inlineStr">
        <is>
          <t>Unstaffed LTC beds, 2024</t>
        </is>
      </c>
      <c r="B15" s="3">
        <f>INDEX(LTC_UNSTAFFED,8)</f>
        <v>548</v>
      </c>
      <c r="C15" s="15" t="inlineStr">
        <is>
          <t>Staffing note (reported only)</t>
        </is>
      </c>
    </row>
    <row r="16">
      <c r="A16" s="2" t="inlineStr">
        <is>
          <t>of which, for lack of staff</t>
        </is>
      </c>
      <c r="B16" s="3">
        <f>LTC_UNSTAFFED_STAFF_2024</f>
        <v>353</v>
      </c>
    </row>
    <row r="17">
      <c r="A17" s="15" t="inlineStr">
        <is>
          <t>Excess days are measured against the average benchmark and are a lower bound on days patients spent beyond 14. All levels of care. Beds use calendar days (366 in 2020 and 2024).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8" customWidth="1" style="7" min="1" max="1"/>
    <col width="14" customWidth="1" style="7" min="2" max="2"/>
    <col width="16" customWidth="1" style="7" min="3" max="3"/>
    <col width="16" customWidth="1" style="7" min="4" max="4"/>
    <col width="24" customWidth="1" style="7" min="5" max="5"/>
  </cols>
  <sheetData>
    <row r="1">
      <c r="A1" s="1" t="inlineStr">
        <is>
          <t>Cost of the gap: net avoidable cost of excess days, 2023, 2024 and the current case (Jan 2026 rate)</t>
        </is>
      </c>
    </row>
    <row r="3" ht="45" customHeight="1" s="7">
      <c r="A3" s="5" t="inlineStr">
        <is>
          <t>Measure</t>
        </is>
      </c>
      <c r="B3" s="5" t="inlineStr">
        <is>
          <t>Unit</t>
        </is>
      </c>
      <c r="C3" s="5" t="inlineStr">
        <is>
          <t>2023</t>
        </is>
      </c>
      <c r="D3" s="5" t="inlineStr">
        <is>
          <t>2024</t>
        </is>
      </c>
      <c r="E3" s="5" t="inlineStr">
        <is>
          <t>Now (2024 excess days at the Jan 2026 rate)</t>
        </is>
      </c>
    </row>
    <row r="4">
      <c r="A4" s="20" t="inlineStr">
        <is>
          <t>Excess days</t>
        </is>
      </c>
      <c r="B4" t="inlineStr">
        <is>
          <t>days</t>
        </is>
      </c>
      <c r="C4" s="3">
        <f>INDEX(EXCESS_DAYS,MATCH(2023,YEAR,0))</f>
        <v>32557.0</v>
      </c>
      <c r="D4" s="3">
        <f>INDEX(EXCESS_DAYS,MATCH(2024,YEAR,0))</f>
        <v>17154.0</v>
      </c>
      <c r="E4" s="3">
        <f>INDEX(EXCESS_DAYS,MATCH(2024,YEAR,0))</f>
        <v>17154.0</v>
      </c>
    </row>
    <row r="5">
      <c r="A5" s="20" t="inlineStr">
        <is>
          <t>Waitlisted rate, January</t>
        </is>
      </c>
      <c r="B5" t="inlineStr">
        <is>
          <t>USD per day</t>
        </is>
      </c>
      <c r="C5" s="35">
        <f>INDEX(WL_RATE_JAN,MATCH(2023,YEAR,0))</f>
        <v>283.6</v>
      </c>
      <c r="D5" s="35">
        <f>INDEX(WL_RATE_JAN,MATCH(2024,YEAR,0))</f>
        <v>464.97</v>
      </c>
    </row>
    <row r="6">
      <c r="A6" s="20" t="inlineStr">
        <is>
          <t>Waitlisted rate, July</t>
        </is>
      </c>
      <c r="B6" t="inlineStr">
        <is>
          <t>USD per day</t>
        </is>
      </c>
      <c r="C6" s="35">
        <f>INDEX(WL_RATE_JUL,MATCH(2023,YEAR,0))</f>
        <v>302.89</v>
      </c>
      <c r="D6" s="35">
        <f>INDEX(WL_RATE_JUL,MATCH(2024,YEAR,0))</f>
        <v>455.59</v>
      </c>
    </row>
    <row r="7" ht="31" customHeight="1" s="7">
      <c r="A7" s="20" t="inlineStr">
        <is>
          <t>Average waitlisted rate (WL_RATE_AVG); Now = WL_RATE_2026</t>
        </is>
      </c>
      <c r="B7" t="inlineStr">
        <is>
          <t>USD per day</t>
        </is>
      </c>
      <c r="C7" s="35">
        <f>(INDEX(WL_RATE_JAN,MATCH(2023,YEAR,0))+INDEX(WL_RATE_JUL,MATCH(2023,YEAR,0)))/2</f>
        <v>293.245</v>
      </c>
      <c r="D7" s="35">
        <f>(INDEX(WL_RATE_JAN,MATCH(2024,YEAR,0))+INDEX(WL_RATE_JUL,MATCH(2024,YEAR,0)))/2</f>
        <v>460.28</v>
      </c>
      <c r="E7" s="35">
        <f>WL_RATE_2026</f>
        <v>486.76</v>
      </c>
    </row>
    <row r="8">
      <c r="A8" s="20" t="inlineStr">
        <is>
          <t>Net cost per day, low (NET_COST_LO)</t>
        </is>
      </c>
      <c r="B8" t="inlineStr">
        <is>
          <t>USD per day</t>
        </is>
      </c>
      <c r="C8" s="35">
        <f>AVOID_COST_LO-INDEX(WL_RATE_AVG,1)</f>
        <v>256.755</v>
      </c>
      <c r="D8" s="35">
        <f>AVOID_COST_LO-INDEX(WL_RATE_AVG,2)</f>
        <v>89.72000000000003</v>
      </c>
      <c r="E8" s="35">
        <f>AVOID_COST_LO-WL_RATE_2026</f>
        <v>63.24000000000001</v>
      </c>
    </row>
    <row r="9">
      <c r="A9" s="20" t="inlineStr">
        <is>
          <t>Net cost per day, high (NET_COST_HI)</t>
        </is>
      </c>
      <c r="B9" t="inlineStr">
        <is>
          <t>USD per day</t>
        </is>
      </c>
      <c r="C9" s="35">
        <f>AVOID_COST_HI-INDEX(WL_RATE_AVG,1)</f>
        <v>1176.755</v>
      </c>
      <c r="D9" s="35">
        <f>AVOID_COST_HI-INDEX(WL_RATE_AVG,2)</f>
        <v>1009.72</v>
      </c>
      <c r="E9" s="35">
        <f>AVOID_COST_HI-WL_RATE_2026</f>
        <v>983.24</v>
      </c>
    </row>
    <row r="10">
      <c r="A10" s="20" t="inlineStr">
        <is>
          <t>Cost of excess days, low (EXCESS_COST_LO)</t>
        </is>
      </c>
      <c r="B10" t="inlineStr">
        <is>
          <t>USD per year</t>
        </is>
      </c>
      <c r="C10" s="36">
        <f>INDEX(EXCESS_DAYS,MATCH(2023,YEAR,0))*INDEX(NET_COST_LO,1)</f>
        <v>8359172.535</v>
      </c>
      <c r="D10" s="36">
        <f>INDEX(EXCESS_DAYS,MATCH(2024,YEAR,0))*INDEX(NET_COST_LO,2)</f>
        <v>1539056.8800000004</v>
      </c>
      <c r="E10" s="36">
        <f>INDEX(EXCESS_DAYS,MATCH(2024,YEAR,0))*NET_COST_LO_NOW</f>
        <v>1084818.9600000002</v>
      </c>
    </row>
    <row r="11">
      <c r="A11" s="20" t="inlineStr">
        <is>
          <t>Cost of excess days, high (EXCESS_COST_HI)</t>
        </is>
      </c>
      <c r="B11" t="inlineStr">
        <is>
          <t>USD per year</t>
        </is>
      </c>
      <c r="C11" s="36">
        <f>INDEX(EXCESS_DAYS,MATCH(2023,YEAR,0))*INDEX(NET_COST_HI,1)</f>
        <v>38311612.535000004</v>
      </c>
      <c r="D11" s="36">
        <f>INDEX(EXCESS_DAYS,MATCH(2024,YEAR,0))*INDEX(NET_COST_HI,2)</f>
        <v>17320736.88</v>
      </c>
      <c r="E11" s="36">
        <f>INDEX(EXCESS_DAYS,MATCH(2024,YEAR,0))*NET_COST_HI_NOW</f>
        <v>16866498.96</v>
      </c>
    </row>
    <row r="12" ht="31" customHeight="1" s="7">
      <c r="A12" s="20" t="inlineStr">
        <is>
          <t>Nursing-facility share of Dec 31 waitlist (NF_SHARE_DEC31), reported beside the result only</t>
        </is>
      </c>
      <c r="B12" t="inlineStr">
        <is>
          <t>share</t>
        </is>
      </c>
      <c r="C12" s="19">
        <f>INDEX(DEC31_NF,MATCH(2023,YEAR,0))/INDEX(DEC31_TOTAL,MATCH(2023,YEAR,0))</f>
        <v>0.8219895287958116</v>
      </c>
      <c r="D12" s="19">
        <f>INDEX(DEC31_NF,MATCH(2024,YEAR,0))/INDEX(DEC31_TOTAL,MATCH(2024,YEAR,0))</f>
        <v>0.6936416184971098</v>
      </c>
    </row>
    <row r="13" ht="31" customHeight="1" s="7">
      <c r="A13" s="20" t="inlineStr">
        <is>
          <t>Ceiling per placed patient, low (CEIL_PER_PT_LO): net cost per day now x 2024 days per patient</t>
        </is>
      </c>
      <c r="B13" t="inlineStr">
        <is>
          <t>USD per patient</t>
        </is>
      </c>
      <c r="E13" s="35">
        <f>NET_COST_LO_NOW*INDEX(DAYS_PER_PT,MATCH(2024,YEAR,0))</f>
        <v>1232.7243804034586</v>
      </c>
    </row>
    <row r="14" ht="31" customHeight="1" s="7">
      <c r="A14" s="20" t="inlineStr">
        <is>
          <t>Ceiling per placed patient, high (CEIL_PER_PT_HI): net cost per day now x 2024 days per patient</t>
        </is>
      </c>
      <c r="B14" t="inlineStr">
        <is>
          <t>USD per patient</t>
        </is>
      </c>
      <c r="E14" s="35">
        <f>NET_COST_HI_NOW*INDEX(DAYS_PER_PT,MATCH(2024,YEAR,0))</f>
        <v>19166.096138328532</v>
      </c>
    </row>
    <row r="16" ht="31" customHeight="1" s="7">
      <c r="A16" s="20" t="inlineStr">
        <is>
          <t>Change in waitlist days, 2023 to 2024 (WL_DAYS_CHANGE_2024)</t>
        </is>
      </c>
      <c r="B16" t="inlineStr">
        <is>
          <t>share</t>
        </is>
      </c>
      <c r="C16" s="19">
        <f>INDEX(WL_DAYS,MATCH(2024,YEAR,0))/INDEX(WL_DAYS,MATCH(2023,YEAR,0))-1</f>
        <v>-0.26741037582584204</v>
      </c>
    </row>
    <row r="17">
      <c r="A17" s="2" t="inlineStr">
        <is>
          <t>Note: Leahi Hospital, Jan 2026 waitlisted rate</t>
        </is>
      </c>
      <c r="B17" t="inlineStr">
        <is>
          <t>USD per day</t>
        </is>
      </c>
      <c r="C17" s="35">
        <f>WL_RATE_LEAHI_2026</f>
        <v>480.19</v>
      </c>
      <c r="D17" s="15" t="inlineStr">
        <is>
          <t>Reported as a note; the other hospitals are at WL_RATE_2026. Not used in a calculation.</t>
        </is>
      </c>
    </row>
    <row r="19">
      <c r="A19" s="15" t="inlineStr">
        <is>
          <t>Avoidable cost range AVOID_COST_LO to AVOID_COST_HI per waitlisted day, net of the waitlisted rate. All levels of care.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82" customWidth="1" style="7" min="1" max="1"/>
    <col width="22" customWidth="1" style="7" min="2" max="2"/>
    <col width="14" customWidth="1" style="7" min="3" max="3"/>
    <col width="14" customWidth="1" style="7" min="4" max="4"/>
    <col width="16" customWidth="1" style="7" min="5" max="5"/>
  </cols>
  <sheetData>
    <row r="1">
      <c r="A1" s="1" t="inlineStr">
        <is>
          <t>Tests: definitions set on Sep 28, after the results were known (see spec Conventions)</t>
        </is>
      </c>
    </row>
    <row r="3">
      <c r="A3" s="5" t="inlineStr">
        <is>
          <t>Test 1: opportunity cost</t>
        </is>
      </c>
      <c r="B3" s="5" t="inlineStr">
        <is>
          <t>Value</t>
        </is>
      </c>
      <c r="C3" s="5" t="inlineStr">
        <is>
          <t>Note</t>
        </is>
      </c>
    </row>
    <row r="4">
      <c r="A4" s="2" t="inlineStr">
        <is>
          <t>Financial share, Dec 31 2020</t>
        </is>
      </c>
      <c r="B4" s="19">
        <f>INDEX(SHARE_FINANCIAL,MATCH(2020,YEAR,0))</f>
        <v>0.20833333333333334</v>
      </c>
      <c r="C4" s="15" t="inlineStr">
        <is>
          <t>COVID year</t>
        </is>
      </c>
    </row>
    <row r="5">
      <c r="A5" s="2" t="inlineStr">
        <is>
          <t>Financial share, Dec 31 2021</t>
        </is>
      </c>
      <c r="B5" s="19">
        <f>INDEX(SHARE_FINANCIAL,MATCH(2021,YEAR,0))</f>
        <v>0.2275132275132275</v>
      </c>
      <c r="C5" s="15" t="inlineStr">
        <is>
          <t>COVID year</t>
        </is>
      </c>
    </row>
    <row r="6">
      <c r="A6" s="2" t="inlineStr">
        <is>
          <t>Drop, 2020 to 2021 (T1_DROP_2021; negative = rise)</t>
        </is>
      </c>
      <c r="B6" s="19">
        <f>INDEX(SHARE_FINANCIAL,MATCH(2020,YEAR,0))-INDEX(SHARE_FINANCIAL,MATCH(2021,YEAR,0))</f>
        <v>-0.019179894179894158</v>
      </c>
      <c r="C6" s="15" t="inlineStr">
        <is>
          <t>Shown as a percent of the reasons total, i.e. percentage points</t>
        </is>
      </c>
    </row>
    <row r="7">
      <c r="A7" s="2" t="inlineStr">
        <is>
          <t>Passes (drop &gt;= T1_MIN_DROP_PTS) (T1_PASS_2021)</t>
        </is>
      </c>
      <c r="B7" t="b">
        <f>T1_DROP_2021*100&gt;=T1_MIN_DROP_PTS</f>
        <v>0</v>
      </c>
      <c r="C7" s="15" t="inlineStr">
        <is>
          <t>Unrounded comparison; 2021 comparison is COVID-confounded</t>
        </is>
      </c>
    </row>
    <row r="8">
      <c r="A8" s="2" t="inlineStr">
        <is>
          <t>Financial share, Dec 31 2023</t>
        </is>
      </c>
      <c r="B8" s="19">
        <f>INDEX(SHARE_FINANCIAL,MATCH(2023,YEAR,0))</f>
        <v>0.2356020942408377</v>
      </c>
    </row>
    <row r="9">
      <c r="A9" s="2" t="inlineStr">
        <is>
          <t>Financial share, Dec 31 2024</t>
        </is>
      </c>
      <c r="B9" s="19">
        <f>INDEX(SHARE_FINANCIAL,MATCH(2024,YEAR,0))</f>
        <v>0.3468208092485549</v>
      </c>
    </row>
    <row r="10">
      <c r="A10" s="2" t="inlineStr">
        <is>
          <t>Drop, 2023 to 2024 (T1_DROP_2024; negative = rise)</t>
        </is>
      </c>
      <c r="B10" s="19">
        <f>INDEX(SHARE_FINANCIAL,MATCH(2023,YEAR,0))-INDEX(SHARE_FINANCIAL,MATCH(2024,YEAR,0))</f>
        <v>-0.11121871500771721</v>
      </c>
      <c r="C10" s="15" t="inlineStr">
        <is>
          <t>Shown as a percent of the reasons total, i.e. percentage points</t>
        </is>
      </c>
    </row>
    <row r="11">
      <c r="A11" s="2" t="inlineStr">
        <is>
          <t>Passes (drop &gt;= T1_MIN_DROP_PTS) (T1_PASS_2024)</t>
        </is>
      </c>
      <c r="B11" t="b">
        <f>T1_DROP_2024*100&gt;=T1_MIN_DROP_PTS</f>
        <v>0</v>
      </c>
      <c r="C11" s="15" t="inlineStr">
        <is>
          <t>Unrounded comparison</t>
        </is>
      </c>
    </row>
    <row r="12">
      <c r="A12" s="2" t="inlineStr">
        <is>
          <t>Verdict (T1_VERDICT)</t>
        </is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5" t="inlineStr">
        <is>
          <t>Fails only if both drops fall short (lenient reading)</t>
        </is>
      </c>
    </row>
    <row r="14">
      <c r="A14" s="5" t="inlineStr">
        <is>
          <t>Test 2: wait for the reset</t>
        </is>
      </c>
      <c r="B14" s="5" t="inlineStr">
        <is>
          <t>Value</t>
        </is>
      </c>
      <c r="C14" s="5" t="inlineStr">
        <is>
          <t>Note</t>
        </is>
      </c>
    </row>
    <row r="15">
      <c r="A15" s="2" t="inlineStr">
        <is>
          <t>Least-squares slope of days per patient, 2017 to 2023 (T2_SLOPE)</t>
        </is>
      </c>
      <c r="B15" s="18">
        <f>SLOPE(INDEX(DAYS_PER_PT,1):INDEX(DAYS_PER_PT,7),INDEX(YEAR,1):INDEX(YEAR,7))</f>
        <v>1.8814212714379457</v>
      </c>
      <c r="C15" s="15" t="inlineStr">
        <is>
          <t>days per patient per year</t>
        </is>
      </c>
    </row>
    <row r="16">
      <c r="A16" s="2" t="inlineStr">
        <is>
          <t>Verdict (T2_VERDICT)</t>
        </is>
      </c>
      <c r="B16" t="str">
        <f>IF(T2_SLOPE&lt;0,"Met","Not met")</f>
        <v>Not met</v>
      </c>
      <c r="C16" s="15" t="inlineStr">
        <is>
          <t>Met = the trend slopes down (falling steadily toward 14)</t>
        </is>
      </c>
    </row>
    <row r="18" ht="45" customHeight="1" s="7">
      <c r="A18" s="5" t="inlineStr">
        <is>
          <t>Test 3: new capacity</t>
        </is>
      </c>
      <c r="B18" s="5" t="inlineStr">
        <is>
          <t>Largest reason (LARGEST_REASON)</t>
        </is>
      </c>
      <c r="C18" s="5" t="inlineStr">
        <is>
          <t>Top count</t>
        </is>
      </c>
      <c r="D18" s="5" t="inlineStr">
        <is>
          <t>Reasons at the top count</t>
        </is>
      </c>
      <c r="E18" s="5" t="inlineStr">
        <is>
          <t>Recorded reasons incomplete</t>
        </is>
      </c>
    </row>
    <row r="19">
      <c r="A19" s="14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3">
        <f>MAX(INDEX(REASON_NO_BED,1),INDEX(REASON_BEHAVIOR,1),INDEX(REASON_SPECIAL_CARE,1),INDEX(REASON_FINANCIAL,1),INDEX(REASON_GUARDIANSHIP,1),INDEX(REASON_PASARR,1),INDEX(REASON_OTHER,1))</f>
        <v>39</v>
      </c>
      <c r="D19" s="3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1.0</v>
      </c>
      <c r="E19" t="b">
        <f>INDEX(REASON_SUM,1)&lt;INDEX(DEC31_TOTAL,1)</f>
        <v>1</v>
      </c>
    </row>
    <row r="20">
      <c r="A20" s="14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3">
        <f>MAX(INDEX(REASON_NO_BED,2),INDEX(REASON_BEHAVIOR,2),INDEX(REASON_SPECIAL_CARE,2),INDEX(REASON_FINANCIAL,2),INDEX(REASON_GUARDIANSHIP,2),INDEX(REASON_PASARR,2),INDEX(REASON_OTHER,2))</f>
        <v>57</v>
      </c>
      <c r="D20" s="3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1.0</v>
      </c>
      <c r="E20" t="b">
        <f>INDEX(REASON_SUM,2)&lt;INDEX(DEC31_TOTAL,2)</f>
        <v>0</v>
      </c>
    </row>
    <row r="21">
      <c r="A21" s="14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3">
        <f>MAX(INDEX(REASON_NO_BED,3),INDEX(REASON_BEHAVIOR,3),INDEX(REASON_SPECIAL_CARE,3),INDEX(REASON_FINANCIAL,3),INDEX(REASON_GUARDIANSHIP,3),INDEX(REASON_PASARR,3),INDEX(REASON_OTHER,3))</f>
        <v>72</v>
      </c>
      <c r="D21" s="3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1.0</v>
      </c>
      <c r="E21" t="b">
        <f>INDEX(REASON_SUM,3)&lt;INDEX(DEC31_TOTAL,3)</f>
        <v>0</v>
      </c>
    </row>
    <row r="22">
      <c r="A22" s="14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3">
        <f>MAX(INDEX(REASON_NO_BED,4),INDEX(REASON_BEHAVIOR,4),INDEX(REASON_SPECIAL_CARE,4),INDEX(REASON_FINANCIAL,4),INDEX(REASON_GUARDIANSHIP,4),INDEX(REASON_PASARR,4),INDEX(REASON_OTHER,4))</f>
        <v>41</v>
      </c>
      <c r="D22" s="3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1.0</v>
      </c>
      <c r="E22" t="b">
        <f>INDEX(REASON_SUM,4)&lt;INDEX(DEC31_TOTAL,4)</f>
        <v>0</v>
      </c>
    </row>
    <row r="23">
      <c r="A23" s="14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3">
        <f>MAX(INDEX(REASON_NO_BED,5),INDEX(REASON_BEHAVIOR,5),INDEX(REASON_SPECIAL_CARE,5),INDEX(REASON_FINANCIAL,5),INDEX(REASON_GUARDIANSHIP,5),INDEX(REASON_PASARR,5),INDEX(REASON_OTHER,5))</f>
        <v>50</v>
      </c>
      <c r="D23" s="3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1.0</v>
      </c>
      <c r="E23" t="b">
        <f>INDEX(REASON_SUM,5)&lt;INDEX(DEC31_TOTAL,5)</f>
        <v>0</v>
      </c>
    </row>
    <row r="24">
      <c r="A24" s="14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3">
        <f>MAX(INDEX(REASON_NO_BED,6),INDEX(REASON_BEHAVIOR,6),INDEX(REASON_SPECIAL_CARE,6),INDEX(REASON_FINANCIAL,6),INDEX(REASON_GUARDIANSHIP,6),INDEX(REASON_PASARR,6),INDEX(REASON_OTHER,6))</f>
        <v>75</v>
      </c>
      <c r="D24" s="3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1.0</v>
      </c>
      <c r="E24" t="b">
        <f>INDEX(REASON_SUM,6)&lt;INDEX(DEC31_TOTAL,6)</f>
        <v>0</v>
      </c>
    </row>
    <row r="25">
      <c r="A25" s="14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3">
        <f>MAX(INDEX(REASON_NO_BED,7),INDEX(REASON_BEHAVIOR,7),INDEX(REASON_SPECIAL_CARE,7),INDEX(REASON_FINANCIAL,7),INDEX(REASON_GUARDIANSHIP,7),INDEX(REASON_PASARR,7),INDEX(REASON_OTHER,7))</f>
        <v>48</v>
      </c>
      <c r="D25" s="3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1.0</v>
      </c>
      <c r="E25" t="b">
        <f>INDEX(REASON_SUM,7)&lt;INDEX(DEC31_TOTAL,7)</f>
        <v>0</v>
      </c>
    </row>
    <row r="26">
      <c r="A26" s="14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3">
        <f>MAX(INDEX(REASON_NO_BED,8),INDEX(REASON_BEHAVIOR,8),INDEX(REASON_SPECIAL_CARE,8),INDEX(REASON_FINANCIAL,8),INDEX(REASON_GUARDIANSHIP,8),INDEX(REASON_PASARR,8),INDEX(REASON_OTHER,8))</f>
        <v>60</v>
      </c>
      <c r="D26" s="3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1.0</v>
      </c>
      <c r="E26" t="b">
        <f>INDEX(REASON_SUM,8)&lt;INDEX(DEC31_TOTAL,8)</f>
        <v>0</v>
      </c>
    </row>
    <row r="27">
      <c r="A27" s="2" t="inlineStr">
        <is>
          <t>Years no bed is largest (T3_YEARS)</t>
        </is>
      </c>
      <c r="B27" s="3">
        <f>COUNTIF(LARGEST_REASON,"No bed")</f>
        <v>5</v>
      </c>
      <c r="C27" s="15" t="inlineStr">
        <is>
          <t>of 8 years, 2017 to 2024</t>
        </is>
      </c>
    </row>
    <row r="28">
      <c r="A28" s="2" t="inlineStr">
        <is>
          <t>Verdict (T3_VERDICT)</t>
        </is>
      </c>
      <c r="B28" t="str">
        <f>IF(T3_YEARS&gt;8/2,"Met","Not met")</f>
        <v>Met</v>
      </c>
      <c r="C28" s="15" t="inlineStr">
        <is>
          <t>Met = more than half of 8 years (5 or more); a tie counts as not largest</t>
        </is>
      </c>
    </row>
    <row r="29">
      <c r="A29" s="2" t="inlineStr">
        <is>
          <t>2017 flag (FLAG_2017_INCOMPLETE)</t>
        </is>
      </c>
      <c r="B29" t="b">
        <f>FLAG_2017_INCOMPLETE</f>
        <v>1</v>
      </c>
      <c r="C29" s="15" t="inlineStr">
        <is>
          <t>2017 is counted on its recorded reasons (120 of 157) and flagged</t>
        </is>
      </c>
    </row>
    <row r="31">
      <c r="A31" s="15" t="inlineStr">
        <is>
          <t>The model reports each test's verdict. It does not rank or cost the options and does not choose between the add-on and the top-up.</t>
        </is>
      </c>
    </row>
    <row r="33">
      <c r="A33" s="5" t="inlineStr">
        <is>
          <t>Side diagnostic: test 1 on counts (changes no verdict)</t>
        </is>
      </c>
      <c r="B33" s="5" t="inlineStr">
        <is>
          <t>Value</t>
        </is>
      </c>
      <c r="C33" s="5" t="inlineStr">
        <is>
          <t>Note</t>
        </is>
      </c>
    </row>
    <row r="34">
      <c r="A34" s="2" t="inlineStr">
        <is>
          <t>Financial count change, Dec 2020 to Dec 2021 (T1_FIN_CHANGE_2021)</t>
        </is>
      </c>
      <c r="B34" s="23">
        <f>INDEX(REASON_FINANCIAL,MATCH(2021,YEAR,0))-INDEX(REASON_FINANCIAL,MATCH(2020,YEAR,0))</f>
        <v>13.0</v>
      </c>
      <c r="C34" s="15" t="inlineStr">
        <is>
          <t>patients, Dec 31</t>
        </is>
      </c>
    </row>
    <row r="35">
      <c r="A35" s="2" t="inlineStr">
        <is>
          <t>Other six reasons change, Dec 2020 to Dec 2021 (T1_OTHER_CHANGE_2021)</t>
        </is>
      </c>
      <c r="B35" s="23">
        <f>(INDEX(REASON_SUM,MATCH(2021,YEAR,0))-INDEX(REASON_FINANCIAL,MATCH(2021,YEAR,0)))-(INDEX(REASON_SUM,MATCH(2020,YEAR,0))-INDEX(REASON_FINANCIAL,MATCH(2020,YEAR,0)))</f>
        <v>32.0</v>
      </c>
    </row>
    <row r="36">
      <c r="A36" s="2" t="inlineStr">
        <is>
          <t>Financial count change, Dec 2023 to Dec 2024 (T1_FIN_CHANGE_2024)</t>
        </is>
      </c>
      <c r="B36" s="23">
        <f>INDEX(REASON_FINANCIAL,MATCH(2024,YEAR,0))-INDEX(REASON_FINANCIAL,MATCH(2023,YEAR,0))</f>
        <v>15.0</v>
      </c>
    </row>
    <row r="37">
      <c r="A37" s="2" t="inlineStr">
        <is>
          <t>Other six reasons change, Dec 2023 to Dec 2024 (T1_OTHER_CHANGE_2024)</t>
        </is>
      </c>
      <c r="B37" s="23">
        <f>(INDEX(REASON_SUM,MATCH(2024,YEAR,0))-INDEX(REASON_FINANCIAL,MATCH(2024,YEAR,0)))-(INDEX(REASON_SUM,MATCH(2023,YEAR,0))-INDEX(REASON_FINANCIAL,MATCH(2023,YEAR,0)))</f>
        <v>-33.0</v>
      </c>
    </row>
    <row r="39">
      <c r="A39" s="15" t="inlineStr">
        <is>
          <t>Side diagnostic: not a test; no verdict. Chosen on Sep 29, after the results were known (spec Conventions).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style="7" min="1" max="1"/>
    <col width="16" customWidth="1" style="7" min="2" max="2"/>
    <col width="16" customWidth="1" style="7" min="3" max="3"/>
    <col width="16" customWidth="1" style="7" min="4" max="4"/>
    <col width="16" customWidth="1" style="7" min="5" max="5"/>
  </cols>
  <sheetData>
    <row r="1">
      <c r="A1" s="1" t="inlineStr">
        <is>
          <t>County: days per patient and share of statewide waitlist days, 2023 and 2024 (reported as one row, not analyzed)</t>
        </is>
      </c>
    </row>
    <row r="3" ht="32" customHeight="1" s="7">
      <c r="A3" s="5" t="inlineStr">
        <is>
          <t>County</t>
        </is>
      </c>
      <c r="B3" s="5" t="inlineStr">
        <is>
          <t>Days per patient 2023</t>
        </is>
      </c>
      <c r="C3" s="5" t="inlineStr">
        <is>
          <t>Days per patient 2024</t>
        </is>
      </c>
      <c r="D3" s="5" t="inlineStr">
        <is>
          <t>Share of days 2023</t>
        </is>
      </c>
      <c r="E3" s="5" t="inlineStr">
        <is>
          <t>Share of days 2024</t>
        </is>
      </c>
    </row>
    <row r="4">
      <c r="A4" s="2" t="str">
        <f>INDEX(COUNTY,1)</f>
        <v>Hawaii</v>
      </c>
      <c r="B4" s="18">
        <f>INDEX(CTY_DAYS,1,1)/INDEX(CTY_PATIENTS,1,1)</f>
        <v>26.711162255466053</v>
      </c>
      <c r="C4" s="18">
        <f>INDEX(CTY_DAYS,1,2)/INDEX(CTY_PATIENTS,1,2)</f>
        <v>27.74965612104539</v>
      </c>
      <c r="D4" s="19">
        <f>INDEX(CTY_DAYS,1,1)/INDEX(WL_DAYS,MATCH(2023,YEAR,0))</f>
        <v>0.27933619745598515</v>
      </c>
      <c r="E4" s="19">
        <f>INDEX(CTY_DAYS,1,2)/INDEX(WL_DAYS,MATCH(2024,YEAR,0))</f>
        <v>0.33139496681779357</v>
      </c>
    </row>
    <row r="5">
      <c r="A5" s="2" t="str">
        <f>INDEX(COUNTY,2)</f>
        <v>Honolulu</v>
      </c>
      <c r="B5" s="18">
        <f>INDEX(CTY_DAYS,2,1)/INDEX(CTY_PATIENTS,2,1)</f>
        <v>17.883370288248337</v>
      </c>
      <c r="C5" s="18">
        <f>INDEX(CTY_DAYS,2,2)/INDEX(CTY_PATIENTS,2,2)</f>
        <v>13.835270338554826</v>
      </c>
      <c r="D5" s="19">
        <f>INDEX(CTY_DAYS,2,1)/INDEX(WL_DAYS,MATCH(2023,YEAR,0))</f>
        <v>0.4853003116839356</v>
      </c>
      <c r="E5" s="19">
        <f>INDEX(CTY_DAYS,2,2)/INDEX(WL_DAYS,MATCH(2024,YEAR,0))</f>
        <v>0.4497667389447401</v>
      </c>
    </row>
    <row r="6">
      <c r="A6" s="2" t="str">
        <f>INDEX(COUNTY,3)</f>
        <v>Kauai</v>
      </c>
      <c r="B6" s="18">
        <f>INDEX(CTY_DAYS,3,1)/INDEX(CTY_PATIENTS,3,1)</f>
        <v>20.0</v>
      </c>
      <c r="C6" s="18">
        <f>INDEX(CTY_DAYS,3,2)/INDEX(CTY_PATIENTS,3,2)</f>
        <v>30.109375</v>
      </c>
      <c r="D6" s="19">
        <f>INDEX(CTY_DAYS,3,1)/INDEX(WL_DAYS,MATCH(2023,YEAR,0))</f>
        <v>0.02069870151750364</v>
      </c>
      <c r="E6" s="19">
        <f>INDEX(CTY_DAYS,3,2)/INDEX(WL_DAYS,MATCH(2024,YEAR,0))</f>
        <v>0.031654510808857346</v>
      </c>
    </row>
    <row r="7">
      <c r="A7" s="2" t="str">
        <f>INDEX(COUNTY,4)</f>
        <v>Maui</v>
      </c>
      <c r="B7" s="18">
        <f>INDEX(CTY_DAYS,4,1)/INDEX(CTY_PATIENTS,4,1)</f>
        <v>44.595</v>
      </c>
      <c r="C7" s="18">
        <f>INDEX(CTY_DAYS,4,2)/INDEX(CTY_PATIENTS,4,2)</f>
        <v>32.28045325779037</v>
      </c>
      <c r="D7" s="19">
        <f>INDEX(CTY_DAYS,4,1)/INDEX(WL_DAYS,MATCH(2023,YEAR,0))</f>
        <v>0.21466478934257555</v>
      </c>
      <c r="E7" s="19">
        <f>INDEX(CTY_DAYS,4,2)/INDEX(WL_DAYS,MATCH(2024,YEAR,0))</f>
        <v>0.18718378342860897</v>
      </c>
    </row>
    <row r="8">
      <c r="A8" s="2" t="inlineStr">
        <is>
          <t>Total share</t>
        </is>
      </c>
      <c r="D8" s="19">
        <f>INDEX(CTY_DAY_SHARE,1,1)+INDEX(CTY_DAY_SHARE,2,1)+INDEX(CTY_DAY_SHARE,3,1)+INDEX(CTY_DAY_SHARE,4,1)</f>
        <v>1.0</v>
      </c>
      <c r="E8" s="19">
        <f>INDEX(CTY_DAY_SHARE,1,2)+INDEX(CTY_DAY_SHARE,2,2)+INDEX(CTY_DAY_SHARE,3,2)+INDEX(CTY_DAY_SHARE,4,2)</f>
        <v>1.0</v>
      </c>
    </row>
    <row r="10">
      <c r="A10" s="15" t="inlineStr">
        <is>
          <t>County = the county of the reporting hospital (Table 18 hospital rows summed).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4" customWidth="1" style="7" min="1" max="1"/>
    <col width="16" customWidth="1" style="7" min="2" max="2"/>
    <col width="16" customWidth="1" style="7" min="3" max="3"/>
    <col width="22" customWidth="1" style="7" min="4" max="4"/>
  </cols>
  <sheetData>
    <row r="1">
      <c r="A1" s="1" t="inlineStr">
        <is>
          <t>Capacity: excess beds against unstaffed long-term-care beds, 2017 to 2024 (a scale comparison, not a sizing)</t>
        </is>
      </c>
    </row>
    <row r="3" ht="45" customHeight="1" s="7">
      <c r="A3" s="5" t="inlineStr">
        <is>
          <t>Year</t>
        </is>
      </c>
      <c r="B3" s="5" t="inlineStr">
        <is>
          <t>Excess beds (average day)</t>
        </is>
      </c>
      <c r="C3" s="5" t="inlineStr">
        <is>
          <t>Unstaffed LTC beds, Dec 31</t>
        </is>
      </c>
      <c r="D3" s="5" t="inlineStr">
        <is>
          <t>Unstaffed beds per excess bed (CAP_RATIO)</t>
        </is>
      </c>
    </row>
    <row r="4">
      <c r="A4" s="14">
        <f>INDEX(YEAR,1)</f>
        <v>2017</v>
      </c>
      <c r="B4" s="18">
        <f>INDEX(EXCESS_BEDS,1)</f>
        <v>0.0</v>
      </c>
      <c r="C4" s="3">
        <f>INDEX(LTC_UNSTAFFED,1)</f>
        <v>128</v>
      </c>
      <c r="D4" s="24" t="str">
        <f>IF(INDEX(EXCESS_BEDS,1)=0,"",INDEX(LTC_UNSTAFFED,1)/INDEX(EXCESS_BEDS,1))</f>
        <v/>
      </c>
    </row>
    <row r="5">
      <c r="A5" s="14">
        <f>INDEX(YEAR,2)</f>
        <v>2018</v>
      </c>
      <c r="B5" s="18">
        <f>INDEX(EXCESS_BEDS,2)</f>
        <v>0.0</v>
      </c>
      <c r="C5" s="3">
        <f>INDEX(LTC_UNSTAFFED,2)</f>
        <v>160</v>
      </c>
      <c r="D5" s="24" t="str">
        <f>IF(INDEX(EXCESS_BEDS,2)=0,"",INDEX(LTC_UNSTAFFED,2)/INDEX(EXCESS_BEDS,2))</f>
        <v/>
      </c>
    </row>
    <row r="6">
      <c r="A6" s="14">
        <f>INDEX(YEAR,3)</f>
        <v>2019</v>
      </c>
      <c r="B6" s="18">
        <f>INDEX(EXCESS_BEDS,3)</f>
        <v>32.46849315068493</v>
      </c>
      <c r="C6" s="3">
        <f>INDEX(LTC_UNSTAFFED,3)</f>
        <v>248</v>
      </c>
      <c r="D6" s="24">
        <f>IF(INDEX(EXCESS_BEDS,3)=0,"",INDEX(LTC_UNSTAFFED,3)/INDEX(EXCESS_BEDS,3))</f>
        <v>7.638173993755802</v>
      </c>
    </row>
    <row r="7">
      <c r="A7" s="14">
        <f>INDEX(YEAR,4)</f>
        <v>2020</v>
      </c>
      <c r="B7" s="18">
        <f>INDEX(EXCESS_BEDS,4)</f>
        <v>0.0</v>
      </c>
      <c r="C7" s="3">
        <f>INDEX(LTC_UNSTAFFED,4)</f>
        <v>462</v>
      </c>
      <c r="D7" s="24" t="str">
        <f>IF(INDEX(EXCESS_BEDS,4)=0,"",INDEX(LTC_UNSTAFFED,4)/INDEX(EXCESS_BEDS,4))</f>
        <v/>
      </c>
    </row>
    <row r="8">
      <c r="A8" s="14">
        <f>INDEX(YEAR,5)</f>
        <v>2021</v>
      </c>
      <c r="B8" s="18">
        <f>INDEX(EXCESS_BEDS,5)</f>
        <v>0.0</v>
      </c>
      <c r="C8" s="3">
        <f>INDEX(LTC_UNSTAFFED,5)</f>
        <v>614</v>
      </c>
      <c r="D8" s="24" t="str">
        <f>IF(INDEX(EXCESS_BEDS,5)=0,"",INDEX(LTC_UNSTAFFED,5)/INDEX(EXCESS_BEDS,5))</f>
        <v/>
      </c>
    </row>
    <row r="9">
      <c r="A9" s="14">
        <f>INDEX(YEAR,6)</f>
        <v>2022</v>
      </c>
      <c r="B9" s="18">
        <f>INDEX(EXCESS_BEDS,6)</f>
        <v>74.04657534246576</v>
      </c>
      <c r="C9" s="3">
        <f>INDEX(LTC_UNSTAFFED,6)</f>
        <v>661</v>
      </c>
      <c r="D9" s="24">
        <f>IF(INDEX(EXCESS_BEDS,6)=0,"",INDEX(LTC_UNSTAFFED,6)/INDEX(EXCESS_BEDS,6))</f>
        <v>8.926813926813926</v>
      </c>
    </row>
    <row r="10">
      <c r="A10" s="14">
        <f>INDEX(YEAR,7)</f>
        <v>2023</v>
      </c>
      <c r="B10" s="18">
        <f>INDEX(EXCESS_BEDS,7)</f>
        <v>89.1972602739726</v>
      </c>
      <c r="C10" s="3">
        <f>INDEX(LTC_UNSTAFFED,7)</f>
        <v>510</v>
      </c>
      <c r="D10" s="24">
        <f>IF(INDEX(EXCESS_BEDS,7)=0,"",INDEX(LTC_UNSTAFFED,7)/INDEX(EXCESS_BEDS,7))</f>
        <v>5.717664403968425</v>
      </c>
    </row>
    <row r="11">
      <c r="A11" s="14">
        <f>INDEX(YEAR,8)</f>
        <v>2024</v>
      </c>
      <c r="B11" s="18">
        <f>INDEX(EXCESS_BEDS,8)</f>
        <v>46.868852459016395</v>
      </c>
      <c r="C11" s="3">
        <f>INDEX(LTC_UNSTAFFED,8)</f>
        <v>548</v>
      </c>
      <c r="D11" s="24">
        <f>IF(INDEX(EXCESS_BEDS,8)=0,"",INDEX(LTC_UNSTAFFED,8)/INDEX(EXCESS_BEDS,8))</f>
        <v>11.692200069954529</v>
      </c>
    </row>
    <row r="13">
      <c r="A13" s="2" t="inlineStr">
        <is>
          <t>Unstaffed for lack of staff, Dec 31, 2024</t>
        </is>
      </c>
      <c r="C13" s="3">
        <f>LTC_UNSTAFFED_STAFF_2024</f>
        <v>353</v>
      </c>
    </row>
    <row r="14">
      <c r="A14" s="2" t="inlineStr">
        <is>
          <t>Per excess bed, 2024 (CAP_RATIO_STAFF_2024)</t>
        </is>
      </c>
      <c r="D14" s="24">
        <f>IF(INDEX(EXCESS_BEDS,MATCH(2024,YEAR,0))=0,"",LTC_UNSTAFFED_STAFF_2024/INDEX(EXCESS_BEDS,MATCH(2024,YEAR,0)))</f>
        <v>7.531654424623994</v>
      </c>
    </row>
    <row r="16">
      <c r="A16" s="15" t="inlineStr">
        <is>
          <t>Blank where a year has no excess beds (no division by zero).</t>
        </is>
      </c>
    </row>
    <row r="17">
      <c r="A17" s="15" t="inlineStr">
        <is>
          <t>Limits (spec Conventions, Capacity comparison):</t>
        </is>
      </c>
    </row>
    <row r="18">
      <c r="A18" s="15" t="inlineStr">
        <is>
          <t>(1) Excess beds cover the acute waitlist across all levels of care on an average day; unstaffed beds are long-term-care beds on Dec 31. Not a bed-for-bed match.</t>
        </is>
      </c>
    </row>
    <row r="19">
      <c r="A19" s="15" t="inlineStr">
        <is>
          <t>(2) Reopening beds idle for lack of staff is a workforce lever outside the scope; the capacity option is new transitional capacity.</t>
        </is>
      </c>
    </row>
    <row r="20">
      <c r="A20" s="15" t="inlineStr">
        <is>
          <t>(3) Excess days are a lower bound, so excess beds are too.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0" customWidth="1" style="7" min="1" max="1"/>
    <col width="14" customWidth="1" style="7" min="2" max="2"/>
    <col width="20" customWidth="1" style="7" min="3" max="3"/>
    <col width="16" customWidth="1" style="7" min="4" max="4"/>
    <col width="22" customWidth="1" style="7" min="5" max="5"/>
  </cols>
  <sheetData>
    <row r="1">
      <c r="A1" s="1" t="inlineStr">
        <is>
          <t>Conditions: condition (a), cost at the gross CMS SNF market basket against the rate at its post-reset pace</t>
        </is>
      </c>
    </row>
    <row r="3" ht="45" customHeight="1" s="7">
      <c r="A3" s="5" t="inlineStr">
        <is>
          <t>Fiscal year</t>
        </is>
      </c>
      <c r="B3" s="5" t="inlineStr">
        <is>
          <t>MB_GROSS</t>
        </is>
      </c>
      <c r="C3" s="5" t="inlineStr">
        <is>
          <t>Cost carried forward (COST_FWD)</t>
        </is>
      </c>
      <c r="D3" s="5" t="inlineStr">
        <is>
          <t>Rate (RATE_FWD)</t>
        </is>
      </c>
      <c r="E3" s="5" t="inlineStr">
        <is>
          <t>Gap, 1 - rate / cost (COND_A_GAP)</t>
        </is>
      </c>
    </row>
    <row r="4">
      <c r="A4" s="2" t="inlineStr">
        <is>
          <t>FY2023 (published median)</t>
        </is>
      </c>
      <c r="C4" s="35">
        <f>INDEX(NF_COST_MCD_HEAVY,MATCH(2023,COST_FY,0))</f>
        <v>461.79</v>
      </c>
    </row>
    <row r="5">
      <c r="A5" s="2" t="inlineStr">
        <is>
          <t>FY2024</t>
        </is>
      </c>
      <c r="B5" s="19">
        <f>INDEX(MB_GROSS,1)</f>
        <v>0.03</v>
      </c>
      <c r="C5" s="35">
        <f>INDEX(NF_COST_MCD_HEAVY,MATCH(2023,COST_FY,0))*(1+INDEX(MB_GROSS,1))</f>
        <v>475.6437</v>
      </c>
    </row>
    <row r="6">
      <c r="A6" s="2" t="inlineStr">
        <is>
          <t>FY2025</t>
        </is>
      </c>
      <c r="B6" s="19">
        <f>INDEX(MB_GROSS,2)</f>
        <v>0.03</v>
      </c>
      <c r="C6" s="35">
        <f>INDEX(NF_COST_MCD_HEAVY,MATCH(2023,COST_FY,0))*(1+INDEX(MB_GROSS,1))*(1+INDEX(MB_GROSS,2))</f>
        <v>489.91301100000004</v>
      </c>
    </row>
    <row r="7">
      <c r="A7" s="2" t="inlineStr">
        <is>
          <t>FY2026</t>
        </is>
      </c>
      <c r="B7" s="19">
        <f>INDEX(MB_GROSS,3)</f>
        <v>0.033</v>
      </c>
      <c r="C7" s="35">
        <f>INDEX(NF_COST_MCD_HEAVY,MATCH(2023,COST_FY,0))*(1+INDEX(MB_GROSS,1))*(1+INDEX(MB_GROSS,2))*(1+INDEX(MB_GROSS,3))</f>
        <v>506.080140363</v>
      </c>
      <c r="D7" s="35">
        <f>INDEX(NF_RATE_MEDIAN,MATCH(DATE(2026,1,1),RATE_DATE,0))</f>
        <v>495.26</v>
      </c>
      <c r="E7" s="25">
        <f>1-INDEX(RATE_FWD,1)/INDEX(COST_FWD,3)</f>
        <v>0.021380290392819967</v>
      </c>
    </row>
    <row r="8">
      <c r="A8" s="2" t="inlineStr">
        <is>
          <t>FY2027</t>
        </is>
      </c>
      <c r="B8" s="19">
        <f>INDEX(MB_GROSS,4)</f>
        <v>0.033</v>
      </c>
      <c r="C8" s="35">
        <f>INDEX(NF_COST_MCD_HEAVY,MATCH(2023,COST_FY,0))*(1+INDEX(MB_GROSS,1))*(1+INDEX(MB_GROSS,2))*(1+INDEX(MB_GROSS,3))*(1+INDEX(MB_GROSS,4))</f>
        <v>522.780784994979</v>
      </c>
      <c r="D8" s="35">
        <f>INDEX(NF_RATE_MEDIAN,MATCH(DATE(2026,1,1),RATE_DATE,0))*(1+RATE_GROWTH_2024_2026)</f>
        <v>502.1147295121337</v>
      </c>
      <c r="E8" s="25">
        <f>1-INDEX(RATE_FWD,2)/INDEX(COST_FWD,4)</f>
        <v>0.039531015821562265</v>
      </c>
    </row>
    <row r="10">
      <c r="A10" s="2" t="inlineStr">
        <is>
          <t>Post-reset rate pace, Jan 2024 to Jan 2026 (RATE_GROWTH_2024_2026)</t>
        </is>
      </c>
      <c r="B10" s="25">
        <f>(INDEX(NF_RATE_MEDIAN,MATCH(DATE(2026,1,1),RATE_DATE,0))/INDEX(NF_RATE_MEDIAN,MATCH(DATE(2024,1,1),RATE_DATE,0)))^(1/2)-1</f>
        <v>0.013840668562237424</v>
      </c>
      <c r="C10" s="15" t="inlineStr">
        <is>
          <t>a year, compounded over two years</t>
        </is>
      </c>
    </row>
    <row r="12">
      <c r="A12" s="15" t="inlineStr">
        <is>
          <t>Rate for FY2026 = the January 2026 median; FY2027 carries it forward at the post-reset pace.</t>
        </is>
      </c>
    </row>
    <row r="13">
      <c r="A13" s="15" t="inlineStr">
        <is>
          <t>Cost is dated July 1 of the fiscal year and the rate January: a half-year mismatch.</t>
        </is>
      </c>
    </row>
    <row r="14">
      <c r="A14" s="15" t="inlineStr">
        <is>
          <t>The market basket is a national Medicare index standing in for Hawaii nursing-home cost growth.</t>
        </is>
      </c>
    </row>
    <row r="15">
      <c r="A15" s="15" t="inlineStr">
        <is>
          <t>Not a forecast; the model does not rank or cost the options (spec Conventions, Condition (a)).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40" customWidth="1" style="7" min="1" max="1"/>
    <col width="17" customWidth="1" style="7" min="2" max="2"/>
    <col width="17" customWidth="1" style="7" min="3" max="3"/>
    <col width="17" customWidth="1" style="7" min="4" max="4"/>
    <col width="15" customWidth="1" style="7" min="5" max="5"/>
    <col width="15" customWidth="1" style="7" min="6" max="6"/>
    <col width="15" customWidth="1" style="7" min="7" max="7"/>
    <col width="15" customWidth="1" style="7" min="8" max="8"/>
    <col width="38" customWidth="1" style="7" min="9" max="9"/>
  </cols>
  <sheetData>
    <row r="1">
      <c r="A1" s="1" t="inlineStr">
        <is>
          <t>FigureData: the exact series each figure plots (figures are drawn from these cells)</t>
        </is>
      </c>
    </row>
    <row r="3">
      <c r="A3" s="4" t="inlineStr">
        <is>
          <t>Figure a: days per patient against the 14-day benchmark</t>
        </is>
      </c>
    </row>
    <row r="4" ht="32" customHeight="1" s="7">
      <c r="A4" s="5" t="inlineStr">
        <is>
          <t>Year</t>
        </is>
      </c>
      <c r="B4" s="5" t="inlineStr">
        <is>
          <t>Plot date (July 1)</t>
        </is>
      </c>
      <c r="C4" s="5" t="inlineStr">
        <is>
          <t>Days per patient</t>
        </is>
      </c>
      <c r="D4" s="5" t="inlineStr">
        <is>
          <t>Benchmark (days)</t>
        </is>
      </c>
      <c r="E4" s="5" t="inlineStr">
        <is>
          <t>COVID year</t>
        </is>
      </c>
    </row>
    <row r="5">
      <c r="A5" s="14">
        <f>INDEX(YEAR,1)</f>
        <v>2017</v>
      </c>
      <c r="B5" s="37">
        <f>DATE(INDEX(YEAR,1),7,1)</f>
        <v>42917</v>
      </c>
      <c r="C5" s="18">
        <f>INDEX(DAYS_PER_PT,1)</f>
        <v>9.935348310974625</v>
      </c>
      <c r="D5" s="3">
        <f>BENCH_DAYS</f>
        <v>14</v>
      </c>
      <c r="E5" t="b">
        <f>INDEX(COVID_FLAG,1)</f>
        <v>0</v>
      </c>
    </row>
    <row r="6">
      <c r="A6" s="14">
        <f>INDEX(YEAR,2)</f>
        <v>2018</v>
      </c>
      <c r="B6" s="37">
        <f>DATE(INDEX(YEAR,2),7,1)</f>
        <v>43282</v>
      </c>
      <c r="C6" s="18">
        <f>INDEX(DAYS_PER_PT,2)</f>
        <v>12.484132980732905</v>
      </c>
      <c r="D6" s="3">
        <f>BENCH_DAYS</f>
        <v>14</v>
      </c>
      <c r="E6" t="b">
        <f>INDEX(COVID_FLAG,2)</f>
        <v>0</v>
      </c>
    </row>
    <row r="7">
      <c r="A7" s="14">
        <f>INDEX(YEAR,3)</f>
        <v>2019</v>
      </c>
      <c r="B7" s="37">
        <f>DATE(INDEX(YEAR,3),7,1)</f>
        <v>43647</v>
      </c>
      <c r="C7" s="18">
        <f>INDEX(DAYS_PER_PT,3)</f>
        <v>16.4741127348643</v>
      </c>
      <c r="D7" s="3">
        <f>BENCH_DAYS</f>
        <v>14</v>
      </c>
      <c r="E7" t="b">
        <f>INDEX(COVID_FLAG,3)</f>
        <v>0</v>
      </c>
    </row>
    <row r="8">
      <c r="A8" s="14">
        <f>INDEX(YEAR,4)</f>
        <v>2020</v>
      </c>
      <c r="B8" s="37">
        <f>DATE(INDEX(YEAR,4),7,1)</f>
        <v>44013</v>
      </c>
      <c r="C8" s="18">
        <f>INDEX(DAYS_PER_PT,4)</f>
        <v>12.584449813309906</v>
      </c>
      <c r="D8" s="3">
        <f>BENCH_DAYS</f>
        <v>14</v>
      </c>
      <c r="E8" t="b">
        <f>INDEX(COVID_FLAG,4)</f>
        <v>1</v>
      </c>
    </row>
    <row r="9">
      <c r="A9" s="14">
        <f>INDEX(YEAR,5)</f>
        <v>2021</v>
      </c>
      <c r="B9" s="37">
        <f>DATE(INDEX(YEAR,5),7,1)</f>
        <v>44378</v>
      </c>
      <c r="C9" s="18">
        <f>INDEX(DAYS_PER_PT,5)</f>
        <v>12.187943982139233</v>
      </c>
      <c r="D9" s="3">
        <f>BENCH_DAYS</f>
        <v>14</v>
      </c>
      <c r="E9" t="b">
        <f>INDEX(COVID_FLAG,5)</f>
        <v>1</v>
      </c>
    </row>
    <row r="10">
      <c r="A10" s="14">
        <f>INDEX(YEAR,6)</f>
        <v>2022</v>
      </c>
      <c r="B10" s="37">
        <f>DATE(INDEX(YEAR,6),7,1)</f>
        <v>44743</v>
      </c>
      <c r="C10" s="18">
        <f>INDEX(DAYS_PER_PT,6)</f>
        <v>21.34229828850856</v>
      </c>
      <c r="D10" s="3">
        <f>BENCH_DAYS</f>
        <v>14</v>
      </c>
      <c r="E10" t="b">
        <f>INDEX(COVID_FLAG,6)</f>
        <v>0</v>
      </c>
    </row>
    <row r="11">
      <c r="A11" s="14">
        <f>INDEX(YEAR,7)</f>
        <v>2023</v>
      </c>
      <c r="B11" s="37">
        <f>DATE(INDEX(YEAR,7),7,1)</f>
        <v>45108</v>
      </c>
      <c r="C11" s="18">
        <f>INDEX(DAYS_PER_PT,7)</f>
        <v>23.018559556786702</v>
      </c>
      <c r="D11" s="3">
        <f>BENCH_DAYS</f>
        <v>14</v>
      </c>
      <c r="E11" t="b">
        <f>INDEX(COVID_FLAG,7)</f>
        <v>0</v>
      </c>
    </row>
    <row r="12">
      <c r="A12" s="14">
        <f>INDEX(YEAR,8)</f>
        <v>2024</v>
      </c>
      <c r="B12" s="37">
        <f>DATE(INDEX(YEAR,8),7,1)</f>
        <v>45474</v>
      </c>
      <c r="C12" s="18">
        <f>INDEX(DAYS_PER_PT,8)</f>
        <v>19.492795389048993</v>
      </c>
      <c r="D12" s="3">
        <f>BENCH_DAYS</f>
        <v>14</v>
      </c>
      <c r="E12" t="b">
        <f>INDEX(COVID_FLAG,8)</f>
        <v>0</v>
      </c>
    </row>
    <row r="14">
      <c r="A14" s="4" t="inlineStr">
        <is>
          <t>Rate events (figures a and c)</t>
        </is>
      </c>
    </row>
    <row r="15">
      <c r="A15" s="5" t="inlineStr">
        <is>
          <t>Event</t>
        </is>
      </c>
      <c r="B15" s="5" t="inlineStr">
        <is>
          <t>Date</t>
        </is>
      </c>
    </row>
    <row r="16">
      <c r="A16" s="2" t="inlineStr">
        <is>
          <t>12% adjustment for private homes</t>
        </is>
      </c>
      <c r="B16" s="37">
        <f>DATE_ADJ_2021</f>
        <v>44209</v>
      </c>
    </row>
    <row r="17">
      <c r="A17" s="2" t="inlineStr">
        <is>
          <t>Rate reset</t>
        </is>
      </c>
      <c r="B17" s="37">
        <f>DATE_RESET_2024</f>
        <v>45292</v>
      </c>
    </row>
    <row r="19">
      <c r="A19" s="4" t="inlineStr">
        <is>
          <t>Figure b: Dec 31 reason shares (of recorded reasons)</t>
        </is>
      </c>
    </row>
    <row r="20">
      <c r="A20" s="5" t="inlineStr">
        <is>
          <t>Year</t>
        </is>
      </c>
      <c r="B20" s="5" t="inlineStr">
        <is>
          <t>No bed</t>
        </is>
      </c>
      <c r="C20" s="5" t="inlineStr">
        <is>
          <t>Behavior</t>
        </is>
      </c>
      <c r="D20" s="5" t="inlineStr">
        <is>
          <t>Special care</t>
        </is>
      </c>
      <c r="E20" s="5" t="inlineStr">
        <is>
          <t>Financial</t>
        </is>
      </c>
      <c r="F20" s="5" t="inlineStr">
        <is>
          <t>Guardianship</t>
        </is>
      </c>
      <c r="G20" s="5" t="inlineStr">
        <is>
          <t>PASARR</t>
        </is>
      </c>
      <c r="H20" s="5" t="inlineStr">
        <is>
          <t>Other</t>
        </is>
      </c>
      <c r="I20" s="5" t="inlineStr">
        <is>
          <t>Bar label</t>
        </is>
      </c>
    </row>
    <row r="21">
      <c r="A21" s="14">
        <f>INDEX(YEAR,1)</f>
        <v>2017</v>
      </c>
      <c r="B21" s="19">
        <f>INDEX(SHARE_NO_BED,1)</f>
        <v>0.325</v>
      </c>
      <c r="C21" s="19">
        <f>INDEX(SHARE_BEHAVIOR,1)</f>
        <v>0.13333333333333333</v>
      </c>
      <c r="D21" s="19">
        <f>INDEX(SHARE_SPECIAL_CARE,1)</f>
        <v>0.19166666666666668</v>
      </c>
      <c r="E21" s="19">
        <f>INDEX(SHARE_FINANCIAL,1)</f>
        <v>0.15</v>
      </c>
      <c r="F21" s="19">
        <f>INDEX(SHARE_GUARDIANSHIP,1)</f>
        <v>0.09166666666666666</v>
      </c>
      <c r="G21" s="19">
        <f>INDEX(SHARE_PASARR,1)</f>
        <v>0.016666666666666666</v>
      </c>
      <c r="H21" s="19">
        <f>INDEX(SHARE_OTHER,1)</f>
        <v>0.09166666666666666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>
      <c r="A22" s="14">
        <f>INDEX(YEAR,2)</f>
        <v>2018</v>
      </c>
      <c r="B22" s="19">
        <f>INDEX(SHARE_NO_BED,2)</f>
        <v>0.3333333333333333</v>
      </c>
      <c r="C22" s="19">
        <f>INDEX(SHARE_BEHAVIOR,2)</f>
        <v>0.1695906432748538</v>
      </c>
      <c r="D22" s="19">
        <f>INDEX(SHARE_SPECIAL_CARE,2)</f>
        <v>0.09941520467836257</v>
      </c>
      <c r="E22" s="19">
        <f>INDEX(SHARE_FINANCIAL,2)</f>
        <v>0.18128654970760233</v>
      </c>
      <c r="F22" s="19">
        <f>INDEX(SHARE_GUARDIANSHIP,2)</f>
        <v>0.10526315789473684</v>
      </c>
      <c r="G22" s="19">
        <f>INDEX(SHARE_PASARR,2)</f>
        <v>0.011695906432748537</v>
      </c>
      <c r="H22" s="19">
        <f>INDEX(SHARE_OTHER,2)</f>
        <v>0.09941520467836257</v>
      </c>
      <c r="I22" t="str">
        <f>IF(INDEX(REASON_SUM,2)&lt;INDEX(DEC31_TOTAL,2),"recorded reasons only ("&amp;INDEX(REASON_SUM,2)&amp;" of "&amp;INDEX(DEC31_TOTAL,2)&amp;")","")</f>
        <v/>
      </c>
    </row>
    <row r="23">
      <c r="A23" s="14">
        <f>INDEX(YEAR,3)</f>
        <v>2019</v>
      </c>
      <c r="B23" s="19">
        <f>INDEX(SHARE_NO_BED,3)</f>
        <v>0.391304347826087</v>
      </c>
      <c r="C23" s="19">
        <f>INDEX(SHARE_BEHAVIOR,3)</f>
        <v>0.14673913043478262</v>
      </c>
      <c r="D23" s="19">
        <f>INDEX(SHARE_SPECIAL_CARE,3)</f>
        <v>0.11413043478260869</v>
      </c>
      <c r="E23" s="19">
        <f>INDEX(SHARE_FINANCIAL,3)</f>
        <v>0.17391304347826086</v>
      </c>
      <c r="F23" s="19">
        <f>INDEX(SHARE_GUARDIANSHIP,3)</f>
        <v>0.14130434782608695</v>
      </c>
      <c r="G23" s="19">
        <f>INDEX(SHARE_PASARR,3)</f>
        <v>0.0</v>
      </c>
      <c r="H23" s="19">
        <f>INDEX(SHARE_OTHER,3)</f>
        <v>0.03260869565217391</v>
      </c>
      <c r="I23" t="str">
        <f>IF(INDEX(REASON_SUM,3)&lt;INDEX(DEC31_TOTAL,3),"recorded reasons only ("&amp;INDEX(REASON_SUM,3)&amp;" of "&amp;INDEX(DEC31_TOTAL,3)&amp;")","")</f>
        <v/>
      </c>
    </row>
    <row r="24">
      <c r="A24" s="14">
        <f>INDEX(YEAR,4)</f>
        <v>2020</v>
      </c>
      <c r="B24" s="19">
        <f>INDEX(SHARE_NO_BED,4)</f>
        <v>0.2847222222222222</v>
      </c>
      <c r="C24" s="19">
        <f>INDEX(SHARE_BEHAVIOR,4)</f>
        <v>0.16666666666666666</v>
      </c>
      <c r="D24" s="19">
        <f>INDEX(SHARE_SPECIAL_CARE,4)</f>
        <v>0.1527777777777778</v>
      </c>
      <c r="E24" s="19">
        <f>INDEX(SHARE_FINANCIAL,4)</f>
        <v>0.20833333333333334</v>
      </c>
      <c r="F24" s="19">
        <f>INDEX(SHARE_GUARDIANSHIP,4)</f>
        <v>0.10416666666666667</v>
      </c>
      <c r="G24" s="19">
        <f>INDEX(SHARE_PASARR,4)</f>
        <v>0.0</v>
      </c>
      <c r="H24" s="19">
        <f>INDEX(SHARE_OTHER,4)</f>
        <v>0.08333333333333333</v>
      </c>
      <c r="I24" t="str">
        <f>IF(INDEX(REASON_SUM,4)&lt;INDEX(DEC31_TOTAL,4),"recorded reasons only ("&amp;INDEX(REASON_SUM,4)&amp;" of "&amp;INDEX(DEC31_TOTAL,4)&amp;")","")</f>
        <v/>
      </c>
    </row>
    <row r="25">
      <c r="A25" s="14">
        <f>INDEX(YEAR,5)</f>
        <v>2021</v>
      </c>
      <c r="B25" s="19">
        <f>INDEX(SHARE_NO_BED,5)</f>
        <v>0.26455026455026454</v>
      </c>
      <c r="C25" s="19">
        <f>INDEX(SHARE_BEHAVIOR,5)</f>
        <v>0.19047619047619047</v>
      </c>
      <c r="D25" s="19">
        <f>INDEX(SHARE_SPECIAL_CARE,5)</f>
        <v>0.1164021164021164</v>
      </c>
      <c r="E25" s="19">
        <f>INDEX(SHARE_FINANCIAL,5)</f>
        <v>0.2275132275132275</v>
      </c>
      <c r="F25" s="19">
        <f>INDEX(SHARE_GUARDIANSHIP,5)</f>
        <v>0.10582010582010581</v>
      </c>
      <c r="G25" s="19">
        <f>INDEX(SHARE_PASARR,5)</f>
        <v>0.0</v>
      </c>
      <c r="H25" s="19">
        <f>INDEX(SHARE_OTHER,5)</f>
        <v>0.09523809523809523</v>
      </c>
      <c r="I25" t="str">
        <f>IF(INDEX(REASON_SUM,5)&lt;INDEX(DEC31_TOTAL,5),"recorded reasons only ("&amp;INDEX(REASON_SUM,5)&amp;" of "&amp;INDEX(DEC31_TOTAL,5)&amp;")","")</f>
        <v/>
      </c>
    </row>
    <row r="26">
      <c r="A26" s="14">
        <f>INDEX(YEAR,6)</f>
        <v>2022</v>
      </c>
      <c r="B26" s="19">
        <f>INDEX(SHARE_NO_BED,6)</f>
        <v>0.228</v>
      </c>
      <c r="C26" s="19">
        <f>INDEX(SHARE_BEHAVIOR,6)</f>
        <v>0.14</v>
      </c>
      <c r="D26" s="19">
        <f>INDEX(SHARE_SPECIAL_CARE,6)</f>
        <v>0.156</v>
      </c>
      <c r="E26" s="19">
        <f>INDEX(SHARE_FINANCIAL,6)</f>
        <v>0.3</v>
      </c>
      <c r="F26" s="19">
        <f>INDEX(SHARE_GUARDIANSHIP,6)</f>
        <v>0.116</v>
      </c>
      <c r="G26" s="19">
        <f>INDEX(SHARE_PASARR,6)</f>
        <v>0.02</v>
      </c>
      <c r="H26" s="19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>
      <c r="A27" s="14">
        <f>INDEX(YEAR,7)</f>
        <v>2023</v>
      </c>
      <c r="B27" s="19">
        <f>INDEX(SHARE_NO_BED,7)</f>
        <v>0.2198952879581152</v>
      </c>
      <c r="C27" s="19">
        <f>INDEX(SHARE_BEHAVIOR,7)</f>
        <v>0.2513089005235602</v>
      </c>
      <c r="D27" s="19">
        <f>INDEX(SHARE_SPECIAL_CARE,7)</f>
        <v>0.13612565445026178</v>
      </c>
      <c r="E27" s="19">
        <f>INDEX(SHARE_FINANCIAL,7)</f>
        <v>0.2356020942408377</v>
      </c>
      <c r="F27" s="19">
        <f>INDEX(SHARE_GUARDIANSHIP,7)</f>
        <v>0.14659685863874344</v>
      </c>
      <c r="G27" s="19">
        <f>INDEX(SHARE_PASARR,7)</f>
        <v>0.005235602094240838</v>
      </c>
      <c r="H27" s="19">
        <f>INDEX(SHARE_OTHER,7)</f>
        <v>0.005235602094240838</v>
      </c>
      <c r="I27" t="str">
        <f>IF(INDEX(REASON_SUM,7)&lt;INDEX(DEC31_TOTAL,7),"recorded reasons only ("&amp;INDEX(REASON_SUM,7)&amp;" of "&amp;INDEX(DEC31_TOTAL,7)&amp;")","")</f>
        <v/>
      </c>
    </row>
    <row r="28">
      <c r="A28" s="14">
        <f>INDEX(YEAR,8)</f>
        <v>2024</v>
      </c>
      <c r="B28" s="19">
        <f>INDEX(SHARE_NO_BED,8)</f>
        <v>0.1791907514450867</v>
      </c>
      <c r="C28" s="19">
        <f>INDEX(SHARE_BEHAVIOR,8)</f>
        <v>0.1676300578034682</v>
      </c>
      <c r="D28" s="19">
        <f>INDEX(SHARE_SPECIAL_CARE,8)</f>
        <v>0.10404624277456648</v>
      </c>
      <c r="E28" s="19">
        <f>INDEX(SHARE_FINANCIAL,8)</f>
        <v>0.3468208092485549</v>
      </c>
      <c r="F28" s="19">
        <f>INDEX(SHARE_GUARDIANSHIP,8)</f>
        <v>0.1791907514450867</v>
      </c>
      <c r="G28" s="19">
        <f>INDEX(SHARE_PASARR,8)</f>
        <v>0.0</v>
      </c>
      <c r="H28" s="19">
        <f>INDEX(SHARE_OTHER,8)</f>
        <v>0.023121387283236993</v>
      </c>
      <c r="I28" t="str">
        <f>IF(INDEX(REASON_SUM,8)&lt;INDEX(DEC31_TOTAL,8),"recorded reasons only ("&amp;INDEX(REASON_SUM,8)&amp;" of "&amp;INDEX(DEC31_TOTAL,8)&amp;")","")</f>
        <v/>
      </c>
    </row>
    <row r="30">
      <c r="A30" s="4" t="inlineStr">
        <is>
          <t>Test 1 windows (figure b shading)</t>
        </is>
      </c>
    </row>
    <row r="31">
      <c r="A31" s="5" t="inlineStr">
        <is>
          <t>Window</t>
        </is>
      </c>
      <c r="B31" s="5" t="inlineStr">
        <is>
          <t>From (Dec 31)</t>
        </is>
      </c>
      <c r="C31" s="5" t="inlineStr">
        <is>
          <t>To (Dec 31)</t>
        </is>
      </c>
    </row>
    <row r="32">
      <c r="A32" s="2" t="inlineStr">
        <is>
          <t>Across the 12% adjustment</t>
        </is>
      </c>
      <c r="B32" s="27">
        <f>YEAR(DATE_ADJ_2021)-1</f>
        <v>2020.0</v>
      </c>
      <c r="C32" s="27">
        <f>YEAR(DATE_ADJ_2021)</f>
        <v>2021</v>
      </c>
    </row>
    <row r="33">
      <c r="A33" s="2" t="inlineStr">
        <is>
          <t>Across the reset</t>
        </is>
      </c>
      <c r="B33" s="27">
        <f>YEAR(DATE_RESET_2024)-1</f>
        <v>2023.0</v>
      </c>
      <c r="C33" s="27">
        <f>YEAR(DATE_RESET_2024)</f>
        <v>2024</v>
      </c>
    </row>
    <row r="35">
      <c r="A35" s="4" t="inlineStr">
        <is>
          <t>Figure c (rate): median nursing-facility rate at each scheduled January/July memo slot; blank = missing memo or no median</t>
        </is>
      </c>
    </row>
    <row r="36" ht="32" customHeight="1" s="7">
      <c r="A36" s="5" t="inlineStr">
        <is>
          <t>Slot (effective month)</t>
        </is>
      </c>
      <c r="B36" s="5" t="inlineStr">
        <is>
          <t>Median rate</t>
        </is>
      </c>
      <c r="C36" s="5" t="inlineStr">
        <is>
          <t>Status</t>
        </is>
      </c>
    </row>
    <row r="37">
      <c r="A37" s="16">
        <f>DATE(2016,1,1)</f>
        <v>42370</v>
      </c>
      <c r="B37" s="35">
        <f>IF(ISNA(MATCH(A37,RATE_DATE,0)),"",IF(INDEX(NF_RATE_MEDIAN,MATCH(A37,RATE_DATE,0))="","",INDEX(NF_RATE_MEDIAN,MATCH(A37,RATE_DATE,0))))</f>
        <v>246.97</v>
      </c>
      <c r="C37" t="str">
        <f>IF(ISNA(MATCH(A37,RATE_DATE,0)),"missing memo",IF(INDEX(NF_RATE_MEDIAN,MATCH(A37,RATE_DATE,0))="","no median",""))</f>
        <v/>
      </c>
    </row>
    <row r="38">
      <c r="A38" s="16">
        <f>DATE(2016,7,1)</f>
        <v>42552</v>
      </c>
      <c r="B38" s="35">
        <f>IF(ISNA(MATCH(A38,RATE_DATE,0)),"",IF(INDEX(NF_RATE_MEDIAN,MATCH(A38,RATE_DATE,0))="","",INDEX(NF_RATE_MEDIAN,MATCH(A38,RATE_DATE,0))))</f>
        <v>252.4</v>
      </c>
      <c r="C38" t="str">
        <f>IF(ISNA(MATCH(A38,RATE_DATE,0)),"missing memo",IF(INDEX(NF_RATE_MEDIAN,MATCH(A38,RATE_DATE,0))="","no median",""))</f>
        <v/>
      </c>
    </row>
    <row r="39">
      <c r="A39" s="16">
        <f>DATE(2017,1,1)</f>
        <v>42736</v>
      </c>
      <c r="B39" s="35">
        <f>IF(ISNA(MATCH(A39,RATE_DATE,0)),"",IF(INDEX(NF_RATE_MEDIAN,MATCH(A39,RATE_DATE,0))="","",INDEX(NF_RATE_MEDIAN,MATCH(A39,RATE_DATE,0))))</f>
        <v>251.93</v>
      </c>
      <c r="C39" t="str">
        <f>IF(ISNA(MATCH(A39,RATE_DATE,0)),"missing memo",IF(INDEX(NF_RATE_MEDIAN,MATCH(A39,RATE_DATE,0))="","no median",""))</f>
        <v/>
      </c>
    </row>
    <row r="40">
      <c r="A40" s="16">
        <f>DATE(2017,7,1)</f>
        <v>42917</v>
      </c>
      <c r="B40" s="35">
        <f>IF(ISNA(MATCH(A40,RATE_DATE,0)),"",IF(INDEX(NF_RATE_MEDIAN,MATCH(A40,RATE_DATE,0))="","",INDEX(NF_RATE_MEDIAN,MATCH(A40,RATE_DATE,0))))</f>
        <v>261.45</v>
      </c>
      <c r="C40" t="str">
        <f>IF(ISNA(MATCH(A40,RATE_DATE,0)),"missing memo",IF(INDEX(NF_RATE_MEDIAN,MATCH(A40,RATE_DATE,0))="","no median",""))</f>
        <v/>
      </c>
    </row>
    <row r="41">
      <c r="A41" s="16">
        <f>DATE(2018,1,1)</f>
        <v>43101</v>
      </c>
      <c r="B41" s="35" t="str">
        <f>IF(ISNA(MATCH(A41,RATE_DATE,0)),"",IF(INDEX(NF_RATE_MEDIAN,MATCH(A41,RATE_DATE,0))="","",INDEX(NF_RATE_MEDIAN,MATCH(A41,RATE_DATE,0))))</f>
        <v/>
      </c>
      <c r="C41" t="str">
        <f>IF(ISNA(MATCH(A41,RATE_DATE,0)),"missing memo",IF(INDEX(NF_RATE_MEDIAN,MATCH(A41,RATE_DATE,0))="","no median",""))</f>
        <v>missing memo</v>
      </c>
    </row>
    <row r="42">
      <c r="A42" s="16">
        <f>DATE(2018,7,1)</f>
        <v>43282</v>
      </c>
      <c r="B42" s="35">
        <f>IF(ISNA(MATCH(A42,RATE_DATE,0)),"",IF(INDEX(NF_RATE_MEDIAN,MATCH(A42,RATE_DATE,0))="","",INDEX(NF_RATE_MEDIAN,MATCH(A42,RATE_DATE,0))))</f>
        <v>270.66</v>
      </c>
      <c r="C42" t="str">
        <f>IF(ISNA(MATCH(A42,RATE_DATE,0)),"missing memo",IF(INDEX(NF_RATE_MEDIAN,MATCH(A42,RATE_DATE,0))="","no median",""))</f>
        <v/>
      </c>
    </row>
    <row r="43">
      <c r="A43" s="16">
        <f>DATE(2019,1,1)</f>
        <v>43466</v>
      </c>
      <c r="B43" s="35">
        <f>IF(ISNA(MATCH(A43,RATE_DATE,0)),"",IF(INDEX(NF_RATE_MEDIAN,MATCH(A43,RATE_DATE,0))="","",INDEX(NF_RATE_MEDIAN,MATCH(A43,RATE_DATE,0))))</f>
        <v>270.15</v>
      </c>
      <c r="C43" t="str">
        <f>IF(ISNA(MATCH(A43,RATE_DATE,0)),"missing memo",IF(INDEX(NF_RATE_MEDIAN,MATCH(A43,RATE_DATE,0))="","no median",""))</f>
        <v/>
      </c>
    </row>
    <row r="44">
      <c r="A44" s="16">
        <f>DATE(2019,7,1)</f>
        <v>43647</v>
      </c>
      <c r="B44" s="35" t="str">
        <f>IF(ISNA(MATCH(A44,RATE_DATE,0)),"",IF(INDEX(NF_RATE_MEDIAN,MATCH(A44,RATE_DATE,0))="","",INDEX(NF_RATE_MEDIAN,MATCH(A44,RATE_DATE,0))))</f>
        <v/>
      </c>
      <c r="C44" t="str">
        <f>IF(ISNA(MATCH(A44,RATE_DATE,0)),"missing memo",IF(INDEX(NF_RATE_MEDIAN,MATCH(A44,RATE_DATE,0))="","no median",""))</f>
        <v>no median</v>
      </c>
    </row>
    <row r="45">
      <c r="A45" s="16">
        <f>DATE(2020,1,1)</f>
        <v>43831</v>
      </c>
      <c r="B45" s="35" t="str">
        <f>IF(ISNA(MATCH(A45,RATE_DATE,0)),"",IF(INDEX(NF_RATE_MEDIAN,MATCH(A45,RATE_DATE,0))="","",INDEX(NF_RATE_MEDIAN,MATCH(A45,RATE_DATE,0))))</f>
        <v/>
      </c>
      <c r="C45" t="str">
        <f>IF(ISNA(MATCH(A45,RATE_DATE,0)),"missing memo",IF(INDEX(NF_RATE_MEDIAN,MATCH(A45,RATE_DATE,0))="","no median",""))</f>
        <v>missing memo</v>
      </c>
    </row>
    <row r="46">
      <c r="A46" s="16">
        <f>DATE(2020,7,1)</f>
        <v>44013</v>
      </c>
      <c r="B46" s="35">
        <f>IF(ISNA(MATCH(A46,RATE_DATE,0)),"",IF(INDEX(NF_RATE_MEDIAN,MATCH(A46,RATE_DATE,0))="","",INDEX(NF_RATE_MEDIAN,MATCH(A46,RATE_DATE,0))))</f>
        <v>282.98</v>
      </c>
      <c r="C46" t="str">
        <f>IF(ISNA(MATCH(A46,RATE_DATE,0)),"missing memo",IF(INDEX(NF_RATE_MEDIAN,MATCH(A46,RATE_DATE,0))="","no median",""))</f>
        <v/>
      </c>
    </row>
    <row r="47">
      <c r="A47" s="16">
        <f>DATE(2021,1,1)</f>
        <v>44197</v>
      </c>
      <c r="B47" s="35" t="str">
        <f>IF(ISNA(MATCH(A47,RATE_DATE,0)),"",IF(INDEX(NF_RATE_MEDIAN,MATCH(A47,RATE_DATE,0))="","",INDEX(NF_RATE_MEDIAN,MATCH(A47,RATE_DATE,0))))</f>
        <v/>
      </c>
      <c r="C47" t="str">
        <f>IF(ISNA(MATCH(A47,RATE_DATE,0)),"missing memo",IF(INDEX(NF_RATE_MEDIAN,MATCH(A47,RATE_DATE,0))="","no median",""))</f>
        <v>missing memo</v>
      </c>
    </row>
    <row r="48">
      <c r="A48" s="16">
        <f>DATE(2021,7,1)</f>
        <v>44378</v>
      </c>
      <c r="B48" s="35">
        <f>IF(ISNA(MATCH(A48,RATE_DATE,0)),"",IF(INDEX(NF_RATE_MEDIAN,MATCH(A48,RATE_DATE,0))="","",INDEX(NF_RATE_MEDIAN,MATCH(A48,RATE_DATE,0))))</f>
        <v>334.75</v>
      </c>
      <c r="C48" t="str">
        <f>IF(ISNA(MATCH(A48,RATE_DATE,0)),"missing memo",IF(INDEX(NF_RATE_MEDIAN,MATCH(A48,RATE_DATE,0))="","no median",""))</f>
        <v/>
      </c>
    </row>
    <row r="49">
      <c r="A49" s="16">
        <f>DATE(2022,1,1)</f>
        <v>44562</v>
      </c>
      <c r="B49" s="35">
        <f>IF(ISNA(MATCH(A49,RATE_DATE,0)),"",IF(INDEX(NF_RATE_MEDIAN,MATCH(A49,RATE_DATE,0))="","",INDEX(NF_RATE_MEDIAN,MATCH(A49,RATE_DATE,0))))</f>
        <v>332.59</v>
      </c>
      <c r="C49" t="str">
        <f>IF(ISNA(MATCH(A49,RATE_DATE,0)),"missing memo",IF(INDEX(NF_RATE_MEDIAN,MATCH(A49,RATE_DATE,0))="","no median",""))</f>
        <v/>
      </c>
    </row>
    <row r="50">
      <c r="A50" s="16">
        <f>DATE(2022,7,1)</f>
        <v>44743</v>
      </c>
      <c r="B50" s="35" t="str">
        <f>IF(ISNA(MATCH(A50,RATE_DATE,0)),"",IF(INDEX(NF_RATE_MEDIAN,MATCH(A50,RATE_DATE,0))="","",INDEX(NF_RATE_MEDIAN,MATCH(A50,RATE_DATE,0))))</f>
        <v/>
      </c>
      <c r="C50" t="str">
        <f>IF(ISNA(MATCH(A50,RATE_DATE,0)),"missing memo",IF(INDEX(NF_RATE_MEDIAN,MATCH(A50,RATE_DATE,0))="","no median",""))</f>
        <v>missing memo</v>
      </c>
    </row>
    <row r="51">
      <c r="A51" s="16">
        <f>DATE(2023,1,1)</f>
        <v>44927</v>
      </c>
      <c r="B51" s="35">
        <f>IF(ISNA(MATCH(A51,RATE_DATE,0)),"",IF(INDEX(NF_RATE_MEDIAN,MATCH(A51,RATE_DATE,0))="","",INDEX(NF_RATE_MEDIAN,MATCH(A51,RATE_DATE,0))))</f>
        <v>355.11</v>
      </c>
      <c r="C51" t="str">
        <f>IF(ISNA(MATCH(A51,RATE_DATE,0)),"missing memo",IF(INDEX(NF_RATE_MEDIAN,MATCH(A51,RATE_DATE,0))="","no median",""))</f>
        <v/>
      </c>
    </row>
    <row r="52">
      <c r="A52" s="16">
        <f>DATE(2023,7,1)</f>
        <v>45108</v>
      </c>
      <c r="B52" s="35">
        <f>IF(ISNA(MATCH(A52,RATE_DATE,0)),"",IF(INDEX(NF_RATE_MEDIAN,MATCH(A52,RATE_DATE,0))="","",INDEX(NF_RATE_MEDIAN,MATCH(A52,RATE_DATE,0))))</f>
        <v>371.99</v>
      </c>
      <c r="C52" t="str">
        <f>IF(ISNA(MATCH(A52,RATE_DATE,0)),"missing memo",IF(INDEX(NF_RATE_MEDIAN,MATCH(A52,RATE_DATE,0))="","no median",""))</f>
        <v/>
      </c>
    </row>
    <row r="53">
      <c r="A53" s="16">
        <f>DATE(2024,1,1)</f>
        <v>45292</v>
      </c>
      <c r="B53" s="35">
        <f>IF(ISNA(MATCH(A53,RATE_DATE,0)),"",IF(INDEX(NF_RATE_MEDIAN,MATCH(A53,RATE_DATE,0))="","",INDEX(NF_RATE_MEDIAN,MATCH(A53,RATE_DATE,0))))</f>
        <v>481.83</v>
      </c>
      <c r="C53" t="str">
        <f>IF(ISNA(MATCH(A53,RATE_DATE,0)),"missing memo",IF(INDEX(NF_RATE_MEDIAN,MATCH(A53,RATE_DATE,0))="","no median",""))</f>
        <v/>
      </c>
    </row>
    <row r="54">
      <c r="A54" s="16">
        <f>DATE(2024,7,1)</f>
        <v>45474</v>
      </c>
      <c r="B54" s="35">
        <f>IF(ISNA(MATCH(A54,RATE_DATE,0)),"",IF(INDEX(NF_RATE_MEDIAN,MATCH(A54,RATE_DATE,0))="","",INDEX(NF_RATE_MEDIAN,MATCH(A54,RATE_DATE,0))))</f>
        <v>482.2</v>
      </c>
      <c r="C54" t="str">
        <f>IF(ISNA(MATCH(A54,RATE_DATE,0)),"missing memo",IF(INDEX(NF_RATE_MEDIAN,MATCH(A54,RATE_DATE,0))="","no median",""))</f>
        <v/>
      </c>
    </row>
    <row r="55">
      <c r="A55" s="16">
        <f>DATE(2025,1,1)</f>
        <v>45658</v>
      </c>
      <c r="B55" s="35">
        <f>IF(ISNA(MATCH(A55,RATE_DATE,0)),"",IF(INDEX(NF_RATE_MEDIAN,MATCH(A55,RATE_DATE,0))="","",INDEX(NF_RATE_MEDIAN,MATCH(A55,RATE_DATE,0))))</f>
        <v>509.69</v>
      </c>
      <c r="C55" t="str">
        <f>IF(ISNA(MATCH(A55,RATE_DATE,0)),"missing memo",IF(INDEX(NF_RATE_MEDIAN,MATCH(A55,RATE_DATE,0))="","no median",""))</f>
        <v/>
      </c>
    </row>
    <row r="56">
      <c r="A56" s="16">
        <f>DATE(2025,7,1)</f>
        <v>45839</v>
      </c>
      <c r="B56" s="35">
        <f>IF(ISNA(MATCH(A56,RATE_DATE,0)),"",IF(INDEX(NF_RATE_MEDIAN,MATCH(A56,RATE_DATE,0))="","",INDEX(NF_RATE_MEDIAN,MATCH(A56,RATE_DATE,0))))</f>
        <v>506.65</v>
      </c>
      <c r="C56" t="str">
        <f>IF(ISNA(MATCH(A56,RATE_DATE,0)),"missing memo",IF(INDEX(NF_RATE_MEDIAN,MATCH(A56,RATE_DATE,0))="","no median",""))</f>
        <v/>
      </c>
    </row>
    <row r="57">
      <c r="A57" s="16">
        <f>DATE(2026,1,1)</f>
        <v>46023</v>
      </c>
      <c r="B57" s="35">
        <f>IF(ISNA(MATCH(A57,RATE_DATE,0)),"",IF(INDEX(NF_RATE_MEDIAN,MATCH(A57,RATE_DATE,0))="","",INDEX(NF_RATE_MEDIAN,MATCH(A57,RATE_DATE,0))))</f>
        <v>495.26</v>
      </c>
      <c r="C57" t="str">
        <f>IF(ISNA(MATCH(A57,RATE_DATE,0)),"missing memo",IF(INDEX(NF_RATE_MEDIAN,MATCH(A57,RATE_DATE,0))="","no median",""))</f>
        <v/>
      </c>
    </row>
    <row r="59">
      <c r="A59" s="4" t="inlineStr">
        <is>
          <t>Figure c (cost): median cost per patient day, each fiscal year plotted at July 1</t>
        </is>
      </c>
    </row>
    <row r="60" ht="32" customHeight="1" s="7">
      <c r="A60" s="5" t="inlineStr">
        <is>
          <t>Fiscal year</t>
        </is>
      </c>
      <c r="B60" s="5" t="inlineStr">
        <is>
          <t>Plot date (July 1)</t>
        </is>
      </c>
      <c r="C60" s="5" t="inlineStr">
        <is>
          <t>Medicaid-heavy homes</t>
        </is>
      </c>
      <c r="D60" s="5" t="inlineStr">
        <is>
          <t>All facilities</t>
        </is>
      </c>
    </row>
    <row r="61">
      <c r="A61" s="14">
        <f>INDEX(COST_FY,1)</f>
        <v>2011</v>
      </c>
      <c r="B61" s="37">
        <f>DATE(INDEX(COST_FY,1),7,1)</f>
        <v>40725</v>
      </c>
      <c r="C61" s="35">
        <f>INDEX(NF_COST_MCD_HEAVY,1)</f>
        <v>287.76</v>
      </c>
      <c r="D61" s="35">
        <f>INDEX(NF_COST_ALL,1)</f>
        <v>295.13</v>
      </c>
    </row>
    <row r="62">
      <c r="A62" s="14">
        <f>INDEX(COST_FY,2)</f>
        <v>2012</v>
      </c>
      <c r="B62" s="37">
        <f>DATE(INDEX(COST_FY,2),7,1)</f>
        <v>41091</v>
      </c>
      <c r="C62" s="35">
        <f>INDEX(NF_COST_MCD_HEAVY,2)</f>
        <v>311.89</v>
      </c>
      <c r="D62" s="35">
        <f>INDEX(NF_COST_ALL,2)</f>
        <v>314.68</v>
      </c>
    </row>
    <row r="63">
      <c r="A63" s="14">
        <f>INDEX(COST_FY,3)</f>
        <v>2013</v>
      </c>
      <c r="B63" s="37">
        <f>DATE(INDEX(COST_FY,3),7,1)</f>
        <v>41456</v>
      </c>
      <c r="C63" s="35">
        <f>INDEX(NF_COST_MCD_HEAVY,3)</f>
        <v>322.2</v>
      </c>
      <c r="D63" s="35">
        <f>INDEX(NF_COST_ALL,3)</f>
        <v>342.42</v>
      </c>
    </row>
    <row r="64">
      <c r="A64" s="14">
        <f>INDEX(COST_FY,4)</f>
        <v>2014</v>
      </c>
      <c r="B64" s="37">
        <f>DATE(INDEX(COST_FY,4),7,1)</f>
        <v>41821</v>
      </c>
      <c r="C64" s="35">
        <f>INDEX(NF_COST_MCD_HEAVY,4)</f>
        <v>322.2</v>
      </c>
      <c r="D64" s="35">
        <f>INDEX(NF_COST_ALL,4)</f>
        <v>344.19</v>
      </c>
    </row>
    <row r="65">
      <c r="A65" s="14">
        <f>INDEX(COST_FY,5)</f>
        <v>2015</v>
      </c>
      <c r="B65" s="37">
        <f>DATE(INDEX(COST_FY,5),7,1)</f>
        <v>42186</v>
      </c>
      <c r="C65" s="35">
        <f>INDEX(NF_COST_MCD_HEAVY,5)</f>
        <v>322.1</v>
      </c>
      <c r="D65" s="35">
        <f>INDEX(NF_COST_ALL,5)</f>
        <v>340.9</v>
      </c>
    </row>
    <row r="66">
      <c r="A66" s="14">
        <f>INDEX(COST_FY,6)</f>
        <v>2016</v>
      </c>
      <c r="B66" s="37">
        <f>DATE(INDEX(COST_FY,6),7,1)</f>
        <v>42552</v>
      </c>
      <c r="C66" s="35">
        <f>INDEX(NF_COST_MCD_HEAVY,6)</f>
        <v>344.38</v>
      </c>
      <c r="D66" s="35">
        <f>INDEX(NF_COST_ALL,6)</f>
        <v>358.8</v>
      </c>
    </row>
    <row r="67">
      <c r="A67" s="14">
        <f>INDEX(COST_FY,7)</f>
        <v>2017</v>
      </c>
      <c r="B67" s="37">
        <f>DATE(INDEX(COST_FY,7),7,1)</f>
        <v>42917</v>
      </c>
      <c r="C67" s="35">
        <f>INDEX(NF_COST_MCD_HEAVY,7)</f>
        <v>356.1</v>
      </c>
      <c r="D67" s="35">
        <f>INDEX(NF_COST_ALL,7)</f>
        <v>376.01</v>
      </c>
    </row>
    <row r="68">
      <c r="A68" s="14">
        <f>INDEX(COST_FY,8)</f>
        <v>2018</v>
      </c>
      <c r="B68" s="37">
        <f>DATE(INDEX(COST_FY,8),7,1)</f>
        <v>43282</v>
      </c>
      <c r="C68" s="35">
        <f>INDEX(NF_COST_MCD_HEAVY,8)</f>
        <v>365.93</v>
      </c>
      <c r="D68" s="35">
        <f>INDEX(NF_COST_ALL,8)</f>
        <v>380.99</v>
      </c>
    </row>
    <row r="69">
      <c r="A69" s="14">
        <f>INDEX(COST_FY,9)</f>
        <v>2019</v>
      </c>
      <c r="B69" s="37">
        <f>DATE(INDEX(COST_FY,9),7,1)</f>
        <v>43647</v>
      </c>
      <c r="C69" s="35">
        <f>INDEX(NF_COST_MCD_HEAVY,9)</f>
        <v>373.25</v>
      </c>
      <c r="D69" s="35">
        <f>INDEX(NF_COST_ALL,9)</f>
        <v>379.87</v>
      </c>
    </row>
    <row r="70">
      <c r="A70" s="14">
        <f>INDEX(COST_FY,10)</f>
        <v>2020</v>
      </c>
      <c r="B70" s="37">
        <f>DATE(INDEX(COST_FY,10),7,1)</f>
        <v>44013</v>
      </c>
      <c r="C70" s="35">
        <f>INDEX(NF_COST_MCD_HEAVY,10)</f>
        <v>398.33</v>
      </c>
      <c r="D70" s="35">
        <f>INDEX(NF_COST_ALL,10)</f>
        <v>428.4</v>
      </c>
    </row>
    <row r="71">
      <c r="A71" s="14">
        <f>INDEX(COST_FY,11)</f>
        <v>2021</v>
      </c>
      <c r="B71" s="37">
        <f>DATE(INDEX(COST_FY,11),7,1)</f>
        <v>44378</v>
      </c>
      <c r="C71" s="35">
        <f>INDEX(NF_COST_MCD_HEAVY,11)</f>
        <v>423.44</v>
      </c>
      <c r="D71" s="35">
        <f>INDEX(NF_COST_ALL,11)</f>
        <v>450.4</v>
      </c>
    </row>
    <row r="72">
      <c r="A72" s="14">
        <f>INDEX(COST_FY,12)</f>
        <v>2022</v>
      </c>
      <c r="B72" s="37">
        <f>DATE(INDEX(COST_FY,12),7,1)</f>
        <v>44743</v>
      </c>
      <c r="C72" s="35">
        <f>INDEX(NF_COST_MCD_HEAVY,12)</f>
        <v>435.63</v>
      </c>
      <c r="D72" s="35">
        <f>INDEX(NF_COST_ALL,12)</f>
        <v>459.47</v>
      </c>
    </row>
    <row r="73">
      <c r="A73" s="14">
        <f>INDEX(COST_FY,13)</f>
        <v>2023</v>
      </c>
      <c r="B73" s="37">
        <f>DATE(INDEX(COST_FY,13),7,1)</f>
        <v>45108</v>
      </c>
      <c r="C73" s="35">
        <f>INDEX(NF_COST_MCD_HEAVY,13)</f>
        <v>461.79</v>
      </c>
      <c r="D73" s="35">
        <f>INDEX(NF_COST_ALL,13)</f>
        <v>519.16</v>
      </c>
    </row>
    <row r="75">
      <c r="A75" s="4" t="inlineStr">
        <is>
          <t>Figure d: total waitlist days split at the benchmark</t>
        </is>
      </c>
    </row>
    <row r="76" ht="32" customHeight="1" s="7">
      <c r="A76" s="5" t="inlineStr">
        <is>
          <t>Year</t>
        </is>
      </c>
      <c r="B76" s="5" t="inlineStr">
        <is>
          <t>Within the benchmark</t>
        </is>
      </c>
      <c r="C76" s="5" t="inlineStr">
        <is>
          <t>Excess</t>
        </is>
      </c>
      <c r="D76" s="5" t="inlineStr">
        <is>
          <t>Total waitlist days</t>
        </is>
      </c>
    </row>
    <row r="77">
      <c r="A77" s="14">
        <f>INDEX(YEAR,1)</f>
        <v>2017</v>
      </c>
      <c r="B77" s="3">
        <f>INDEX(WITHIN_DAYS,1)</f>
        <v>61470.0</v>
      </c>
      <c r="C77" s="3">
        <f>INDEX(EXCESS_DAYS,1)</f>
        <v>0</v>
      </c>
      <c r="D77" s="3">
        <f>INDEX(WL_DAYS,1)</f>
        <v>61470</v>
      </c>
    </row>
    <row r="78">
      <c r="A78" s="14">
        <f>INDEX(YEAR,2)</f>
        <v>2018</v>
      </c>
      <c r="B78" s="3">
        <f>INDEX(WITHIN_DAYS,2)</f>
        <v>66091.0</v>
      </c>
      <c r="C78" s="3">
        <f>INDEX(EXCESS_DAYS,2)</f>
        <v>0</v>
      </c>
      <c r="D78" s="3">
        <f>INDEX(WL_DAYS,2)</f>
        <v>66091</v>
      </c>
    </row>
    <row r="79">
      <c r="A79" s="14">
        <f>INDEX(YEAR,3)</f>
        <v>2019</v>
      </c>
      <c r="B79" s="3">
        <f>INDEX(WITHIN_DAYS,3)</f>
        <v>67060.0</v>
      </c>
      <c r="C79" s="3">
        <f>INDEX(EXCESS_DAYS,3)</f>
        <v>11851.0</v>
      </c>
      <c r="D79" s="3">
        <f>INDEX(WL_DAYS,3)</f>
        <v>78911</v>
      </c>
    </row>
    <row r="80">
      <c r="A80" s="14">
        <f>INDEX(YEAR,4)</f>
        <v>2020</v>
      </c>
      <c r="B80" s="3">
        <f>INDEX(WITHIN_DAYS,4)</f>
        <v>57297.0</v>
      </c>
      <c r="C80" s="3">
        <f>INDEX(EXCESS_DAYS,4)</f>
        <v>0</v>
      </c>
      <c r="D80" s="3">
        <f>INDEX(WL_DAYS,4)</f>
        <v>57297</v>
      </c>
    </row>
    <row r="81">
      <c r="A81" s="14">
        <f>INDEX(YEAR,5)</f>
        <v>2021</v>
      </c>
      <c r="B81" s="3">
        <f>INDEX(WITHIN_DAYS,5)</f>
        <v>60050.0</v>
      </c>
      <c r="C81" s="3">
        <f>INDEX(EXCESS_DAYS,5)</f>
        <v>0</v>
      </c>
      <c r="D81" s="3">
        <f>INDEX(WL_DAYS,5)</f>
        <v>60050</v>
      </c>
    </row>
    <row r="82">
      <c r="A82" s="14">
        <f>INDEX(YEAR,6)</f>
        <v>2022</v>
      </c>
      <c r="B82" s="3">
        <f>INDEX(WITHIN_DAYS,6)</f>
        <v>51534.0</v>
      </c>
      <c r="C82" s="3">
        <f>INDEX(EXCESS_DAYS,6)</f>
        <v>27027.0</v>
      </c>
      <c r="D82" s="3">
        <f>INDEX(WL_DAYS,6)</f>
        <v>78561</v>
      </c>
    </row>
    <row r="83">
      <c r="A83" s="14">
        <f>INDEX(YEAR,7)</f>
        <v>2023</v>
      </c>
      <c r="B83" s="3">
        <f>INDEX(WITHIN_DAYS,7)</f>
        <v>50540.0</v>
      </c>
      <c r="C83" s="3">
        <f>INDEX(EXCESS_DAYS,7)</f>
        <v>32557.0</v>
      </c>
      <c r="D83" s="3">
        <f>INDEX(WL_DAYS,7)</f>
        <v>83097</v>
      </c>
    </row>
    <row r="84">
      <c r="A84" s="14">
        <f>INDEX(YEAR,8)</f>
        <v>2024</v>
      </c>
      <c r="B84" s="3">
        <f>INDEX(WITHIN_DAYS,8)</f>
        <v>43722.0</v>
      </c>
      <c r="C84" s="3">
        <f>INDEX(EXCESS_DAYS,8)</f>
        <v>17154.0</v>
      </c>
      <c r="D84" s="3">
        <f>INDEX(WL_DAYS,8)</f>
        <v>60876</v>
      </c>
    </row>
    <row r="86">
      <c r="A86" s="15" t="inlineStr">
        <is>
          <t>Figure g: schematic, no data (illustrative, not to scale).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4" customWidth="1" style="7" min="1" max="1"/>
    <col width="40" customWidth="1" style="7" min="2" max="2"/>
    <col width="70" customWidth="1" style="7" min="3" max="3"/>
    <col width="70" customWidth="1" style="7" min="4" max="4"/>
    <col width="16" customWidth="1" style="7" min="5" max="5"/>
    <col width="16" customWidth="1" style="7" min="6" max="6"/>
  </cols>
  <sheetData>
    <row r="1">
      <c r="A1" s="1" t="inlineStr">
        <is>
          <t>WorkedExample: synthetic anchor with its own inputs (yellow, not linked to Inputs), same formula shapes as the model</t>
        </is>
      </c>
    </row>
    <row r="3">
      <c r="A3" s="5" t="inlineStr">
        <is>
          <t>Setting</t>
        </is>
      </c>
      <c r="B3" s="5" t="inlineStr">
        <is>
          <t>Value</t>
        </is>
      </c>
    </row>
    <row r="4">
      <c r="A4" s="2" t="inlineStr">
        <is>
          <t>Benchmark (days per patient)</t>
        </is>
      </c>
      <c r="B4" s="6" t="n">
        <v>14</v>
      </c>
    </row>
    <row r="5">
      <c r="A5" s="2" t="inlineStr">
        <is>
          <t>Test 1 threshold (points)</t>
        </is>
      </c>
      <c r="B5" s="6" t="n">
        <v>5</v>
      </c>
    </row>
    <row r="7" ht="32" customHeight="1" s="7">
      <c r="A7" s="5" t="inlineStr">
        <is>
          <t>Year</t>
        </is>
      </c>
      <c r="B7" s="5" t="inlineStr">
        <is>
          <t>Patients</t>
        </is>
      </c>
      <c r="C7" s="5" t="inlineStr">
        <is>
          <t>Days, case A (rising)</t>
        </is>
      </c>
      <c r="D7" s="5" t="inlineStr">
        <is>
          <t>Days, case B (falling)</t>
        </is>
      </c>
      <c r="E7" s="5" t="inlineStr">
        <is>
          <t>Days per patient, A</t>
        </is>
      </c>
      <c r="F7" s="5" t="inlineStr">
        <is>
          <t>Days per patient, B</t>
        </is>
      </c>
    </row>
    <row r="8">
      <c r="A8" s="6" t="n">
        <v>1</v>
      </c>
      <c r="B8" s="6" t="n">
        <v>100</v>
      </c>
      <c r="C8" s="6" t="n">
        <v>1000</v>
      </c>
      <c r="D8" s="6" t="n">
        <v>2000</v>
      </c>
      <c r="E8" s="18">
        <f>C8/B8</f>
        <v>10.0</v>
      </c>
      <c r="F8" s="18">
        <f>D8/B8</f>
        <v>20.0</v>
      </c>
    </row>
    <row r="9">
      <c r="A9" s="6" t="n">
        <v>2</v>
      </c>
      <c r="B9" s="6" t="n">
        <v>100</v>
      </c>
      <c r="C9" s="6" t="n">
        <v>1400</v>
      </c>
      <c r="D9" s="6" t="n">
        <v>1400</v>
      </c>
      <c r="E9" s="18">
        <f>C9/B9</f>
        <v>14.0</v>
      </c>
      <c r="F9" s="18">
        <f>D9/B9</f>
        <v>14.0</v>
      </c>
    </row>
    <row r="10">
      <c r="A10" s="6" t="n">
        <v>3</v>
      </c>
      <c r="B10" s="6" t="n">
        <v>100</v>
      </c>
      <c r="C10" s="6" t="n">
        <v>2000</v>
      </c>
      <c r="D10" s="6" t="n">
        <v>1000</v>
      </c>
      <c r="E10" s="18">
        <f>C10/B10</f>
        <v>20.0</v>
      </c>
      <c r="F10" s="18">
        <f>D10/B10</f>
        <v>10.0</v>
      </c>
    </row>
    <row r="12" ht="32" customHeight="1" s="7">
      <c r="A12" s="5" t="inlineStr">
        <is>
          <t>Reason</t>
        </is>
      </c>
      <c r="B12" s="5" t="inlineStr">
        <is>
          <t>Counts, case C (tie)</t>
        </is>
      </c>
      <c r="C12" s="5" t="inlineStr">
        <is>
          <t>Counts, case D (no tie)</t>
        </is>
      </c>
    </row>
    <row r="13">
      <c r="A13" s="2" t="inlineStr">
        <is>
          <t>No bed</t>
        </is>
      </c>
      <c r="B13" s="6" t="n">
        <v>5</v>
      </c>
      <c r="C13" s="6" t="n">
        <v>6</v>
      </c>
    </row>
    <row r="14">
      <c r="A14" s="2" t="inlineStr">
        <is>
          <t>Behavior</t>
        </is>
      </c>
      <c r="B14" s="6" t="n">
        <v>5</v>
      </c>
      <c r="C14" s="6" t="n">
        <v>5</v>
      </c>
    </row>
    <row r="15">
      <c r="A15" s="2" t="inlineStr">
        <is>
          <t>Special care</t>
        </is>
      </c>
      <c r="B15" s="6" t="n">
        <v>2</v>
      </c>
      <c r="C15" s="6" t="n">
        <v>2</v>
      </c>
    </row>
    <row r="16">
      <c r="A16" s="2" t="inlineStr">
        <is>
          <t>Financial</t>
        </is>
      </c>
      <c r="B16" s="6" t="n">
        <v>3</v>
      </c>
      <c r="C16" s="6" t="n">
        <v>3</v>
      </c>
    </row>
    <row r="17">
      <c r="A17" s="2" t="inlineStr">
        <is>
          <t>Guardianship</t>
        </is>
      </c>
      <c r="B17" s="6" t="n">
        <v>1</v>
      </c>
      <c r="C17" s="6" t="n">
        <v>1</v>
      </c>
    </row>
    <row r="18">
      <c r="A18" s="2" t="inlineStr">
        <is>
          <t>PASARR</t>
        </is>
      </c>
      <c r="B18" s="6" t="n">
        <v>0</v>
      </c>
      <c r="C18" s="6" t="n">
        <v>0</v>
      </c>
    </row>
    <row r="19">
      <c r="A19" s="2" t="inlineStr">
        <is>
          <t>Other</t>
        </is>
      </c>
      <c r="B19" s="6" t="n">
        <v>1</v>
      </c>
      <c r="C19" s="6" t="n">
        <v>1</v>
      </c>
    </row>
    <row r="21" ht="32" customHeight="1" s="7">
      <c r="A21" s="5" t="inlineStr">
        <is>
          <t>Test 1 row</t>
        </is>
      </c>
      <c r="B21" s="5" t="inlineStr">
        <is>
          <t>Drop, 2021 window (points)</t>
        </is>
      </c>
      <c r="C21" s="5" t="inlineStr">
        <is>
          <t>Drop, 2024 window (points)</t>
        </is>
      </c>
    </row>
    <row r="22">
      <c r="A22" s="2" t="inlineStr">
        <is>
          <t>E1</t>
        </is>
      </c>
      <c r="B22" s="28" t="n">
        <v>6</v>
      </c>
      <c r="C22" s="28" t="n">
        <v>6</v>
      </c>
    </row>
    <row r="23">
      <c r="A23" s="2" t="inlineStr">
        <is>
          <t>E2</t>
        </is>
      </c>
      <c r="B23" s="28" t="n">
        <v>6</v>
      </c>
      <c r="C23" s="28" t="n">
        <v>-2</v>
      </c>
    </row>
    <row r="24">
      <c r="A24" s="2" t="inlineStr">
        <is>
          <t>E3</t>
        </is>
      </c>
      <c r="B24" s="28" t="n">
        <v>-2</v>
      </c>
      <c r="C24" s="28" t="n">
        <v>6</v>
      </c>
    </row>
    <row r="25">
      <c r="A25" s="2" t="inlineStr">
        <is>
          <t>E4</t>
        </is>
      </c>
      <c r="B25" s="28" t="n">
        <v>-2</v>
      </c>
      <c r="C25" s="28" t="n">
        <v>-2</v>
      </c>
    </row>
    <row r="26">
      <c r="A26" s="2" t="inlineStr">
        <is>
          <t>E5</t>
        </is>
      </c>
      <c r="B26" s="28" t="n">
        <v>5</v>
      </c>
      <c r="C26" s="28" t="n">
        <v>-2</v>
      </c>
    </row>
    <row r="28">
      <c r="A28" s="5" t="inlineStr">
        <is>
          <t>Case</t>
        </is>
      </c>
      <c r="B28" s="5" t="inlineStr">
        <is>
          <t>Item</t>
        </is>
      </c>
      <c r="C28" s="5" t="inlineStr">
        <is>
          <t>Computed</t>
        </is>
      </c>
      <c r="D28" s="5" t="inlineStr">
        <is>
          <t>Expected</t>
        </is>
      </c>
      <c r="E28" s="5" t="inlineStr">
        <is>
          <t>Match</t>
        </is>
      </c>
    </row>
    <row r="29">
      <c r="A29" s="2" t="inlineStr">
        <is>
          <t>A</t>
        </is>
      </c>
      <c r="B29" s="2" t="inlineStr">
        <is>
          <t>Days per patient, year 1</t>
        </is>
      </c>
      <c r="C29" s="24">
        <f>E8</f>
        <v>10.0</v>
      </c>
      <c r="D29" s="24">
        <f>10</f>
        <v>10</v>
      </c>
      <c r="E29" t="str">
        <f>IF(ABS(C29-D29)&lt;0.000001,"match","MISMATCH")</f>
        <v>match</v>
      </c>
    </row>
    <row r="30">
      <c r="A30" s="2" t="inlineStr">
        <is>
          <t>A</t>
        </is>
      </c>
      <c r="B30" s="2" t="inlineStr">
        <is>
          <t>Days per patient, year 2</t>
        </is>
      </c>
      <c r="C30" s="24">
        <f>E9</f>
        <v>14.0</v>
      </c>
      <c r="D30" s="24">
        <f>14</f>
        <v>14</v>
      </c>
      <c r="E30" t="str">
        <f>IF(ABS(C30-D30)&lt;0.000001,"match","MISMATCH")</f>
        <v>match</v>
      </c>
    </row>
    <row r="31">
      <c r="A31" s="2" t="inlineStr">
        <is>
          <t>A</t>
        </is>
      </c>
      <c r="B31" s="2" t="inlineStr">
        <is>
          <t>Days per patient, year 3</t>
        </is>
      </c>
      <c r="C31" s="24">
        <f>E10</f>
        <v>20.0</v>
      </c>
      <c r="D31" s="24">
        <f>20</f>
        <v>20</v>
      </c>
      <c r="E31" t="str">
        <f>IF(ABS(C31-D31)&lt;0.000001,"match","MISMATCH")</f>
        <v>match</v>
      </c>
    </row>
    <row r="32">
      <c r="A32" s="2" t="inlineStr">
        <is>
          <t>A</t>
        </is>
      </c>
      <c r="B32" s="2" t="inlineStr">
        <is>
          <t>Signed gap, year 1</t>
        </is>
      </c>
      <c r="C32" s="24">
        <f>E8-$B$4</f>
        <v>-4.0</v>
      </c>
      <c r="D32" s="24">
        <f>-4</f>
        <v>-4.0</v>
      </c>
      <c r="E32" t="str">
        <f>IF(ABS(C32-D32)&lt;0.000001,"match","MISMATCH")</f>
        <v>match</v>
      </c>
    </row>
    <row r="33">
      <c r="A33" s="2" t="inlineStr">
        <is>
          <t>A</t>
        </is>
      </c>
      <c r="B33" s="2" t="inlineStr">
        <is>
          <t>Signed gap, year 2</t>
        </is>
      </c>
      <c r="C33" s="24">
        <f>E9-$B$4</f>
        <v>0.0</v>
      </c>
      <c r="D33" s="24">
        <f>0</f>
        <v>0</v>
      </c>
      <c r="E33" t="str">
        <f>IF(ABS(C33-D33)&lt;0.000001,"match","MISMATCH")</f>
        <v>match</v>
      </c>
    </row>
    <row r="34">
      <c r="A34" s="2" t="inlineStr">
        <is>
          <t>A</t>
        </is>
      </c>
      <c r="B34" s="2" t="inlineStr">
        <is>
          <t>Signed gap, year 3</t>
        </is>
      </c>
      <c r="C34" s="24">
        <f>E10-$B$4</f>
        <v>6.0</v>
      </c>
      <c r="D34" s="24">
        <f>6</f>
        <v>6</v>
      </c>
      <c r="E34" t="str">
        <f>IF(ABS(C34-D34)&lt;0.000001,"match","MISMATCH")</f>
        <v>match</v>
      </c>
    </row>
    <row r="35">
      <c r="A35" s="2" t="inlineStr">
        <is>
          <t>A</t>
        </is>
      </c>
      <c r="B35" s="2" t="inlineStr">
        <is>
          <t>Excess days, year 1</t>
        </is>
      </c>
      <c r="C35" s="24">
        <f>MAX(0,C8-B8*$B$4)</f>
        <v>0</v>
      </c>
      <c r="D35" s="24">
        <f>0</f>
        <v>0</v>
      </c>
      <c r="E35" t="str">
        <f>IF(ABS(C35-D35)&lt;0.000001,"match","MISMATCH")</f>
        <v>match</v>
      </c>
    </row>
    <row r="36">
      <c r="A36" s="2" t="inlineStr">
        <is>
          <t>A</t>
        </is>
      </c>
      <c r="B36" s="2" t="inlineStr">
        <is>
          <t>Excess days, year 2</t>
        </is>
      </c>
      <c r="C36" s="24">
        <f>MAX(0,C9-B9*$B$4)</f>
        <v>0</v>
      </c>
      <c r="D36" s="24">
        <f>0</f>
        <v>0</v>
      </c>
      <c r="E36" t="str">
        <f>IF(ABS(C36-D36)&lt;0.000001,"match","MISMATCH")</f>
        <v>match</v>
      </c>
    </row>
    <row r="37">
      <c r="A37" s="2" t="inlineStr">
        <is>
          <t>A</t>
        </is>
      </c>
      <c r="B37" s="2" t="inlineStr">
        <is>
          <t>Excess days, year 3</t>
        </is>
      </c>
      <c r="C37" s="24">
        <f>MAX(0,C10-B10*$B$4)</f>
        <v>600.0</v>
      </c>
      <c r="D37" s="24">
        <f>600</f>
        <v>600</v>
      </c>
      <c r="E37" t="str">
        <f>IF(ABS(C37-D37)&lt;0.000001,"match","MISMATCH")</f>
        <v>match</v>
      </c>
    </row>
    <row r="38">
      <c r="A38" s="2" t="inlineStr">
        <is>
          <t>A</t>
        </is>
      </c>
      <c r="B38" s="2" t="inlineStr">
        <is>
          <t>Days within the benchmark, year 1</t>
        </is>
      </c>
      <c r="C38" s="24">
        <f>C8-MAX(0,C8-B8*$B$4)</f>
        <v>1000.0</v>
      </c>
      <c r="D38" s="24">
        <f>1000</f>
        <v>1000</v>
      </c>
      <c r="E38" t="str">
        <f>IF(ABS(C38-D38)&lt;0.000001,"match","MISMATCH")</f>
        <v>match</v>
      </c>
    </row>
    <row r="39">
      <c r="A39" s="2" t="inlineStr">
        <is>
          <t>A</t>
        </is>
      </c>
      <c r="B39" s="2" t="inlineStr">
        <is>
          <t>Days within the benchmark, year 2</t>
        </is>
      </c>
      <c r="C39" s="24">
        <f>C9-MAX(0,C9-B9*$B$4)</f>
        <v>1400.0</v>
      </c>
      <c r="D39" s="24">
        <f>1400</f>
        <v>1400</v>
      </c>
      <c r="E39" t="str">
        <f>IF(ABS(C39-D39)&lt;0.000001,"match","MISMATCH")</f>
        <v>match</v>
      </c>
    </row>
    <row r="40">
      <c r="A40" s="2" t="inlineStr">
        <is>
          <t>A</t>
        </is>
      </c>
      <c r="B40" s="2" t="inlineStr">
        <is>
          <t>Days within the benchmark, year 3</t>
        </is>
      </c>
      <c r="C40" s="24">
        <f>C10-MAX(0,C10-B10*$B$4)</f>
        <v>1400.0</v>
      </c>
      <c r="D40" s="24">
        <f>1400</f>
        <v>1400</v>
      </c>
      <c r="E40" t="str">
        <f>IF(ABS(C40-D40)&lt;0.000001,"match","MISMATCH")</f>
        <v>match</v>
      </c>
    </row>
    <row r="41">
      <c r="A41" s="2" t="inlineStr">
        <is>
          <t>A</t>
        </is>
      </c>
      <c r="B41" s="2" t="inlineStr">
        <is>
          <t>Meets benchmark, year 1</t>
        </is>
      </c>
      <c r="C41" t="b">
        <f>E8&lt;=$B$4</f>
        <v>1</v>
      </c>
      <c r="D41" t="b">
        <f>TRUE</f>
        <v>1</v>
      </c>
      <c r="E41" t="str">
        <f>IF(C41=D41,"match","MISMATCH")</f>
        <v>match</v>
      </c>
    </row>
    <row r="42">
      <c r="A42" s="2" t="inlineStr">
        <is>
          <t>A</t>
        </is>
      </c>
      <c r="B42" s="2" t="inlineStr">
        <is>
          <t>Meets benchmark, year 2</t>
        </is>
      </c>
      <c r="C42" t="b">
        <f>E9&lt;=$B$4</f>
        <v>1</v>
      </c>
      <c r="D42" t="b">
        <f>TRUE</f>
        <v>1</v>
      </c>
      <c r="E42" t="str">
        <f>IF(C42=D42,"match","MISMATCH")</f>
        <v>match</v>
      </c>
    </row>
    <row r="43">
      <c r="A43" s="2" t="inlineStr">
        <is>
          <t>A</t>
        </is>
      </c>
      <c r="B43" s="2" t="inlineStr">
        <is>
          <t>Meets benchmark, year 3</t>
        </is>
      </c>
      <c r="C43" t="b">
        <f>E10&lt;=$B$4</f>
        <v>0</v>
      </c>
      <c r="D43" t="b">
        <f>FALSE</f>
        <v>0</v>
      </c>
      <c r="E43" t="str">
        <f>IF(C43=D43,"match","MISMATCH")</f>
        <v>match</v>
      </c>
    </row>
    <row r="44">
      <c r="A44" s="2" t="inlineStr">
        <is>
          <t>A</t>
        </is>
      </c>
      <c r="B44" s="2" t="inlineStr">
        <is>
          <t>Slope of days per patient</t>
        </is>
      </c>
      <c r="C44" s="24">
        <f>SLOPE(E8:E10,A8:A10)</f>
        <v>5.0</v>
      </c>
      <c r="D44" s="24">
        <f>5</f>
        <v>5</v>
      </c>
      <c r="E44" t="str">
        <f>IF(ABS(C44-D44)&lt;0.000001,"match","MISMATCH")</f>
        <v>match</v>
      </c>
    </row>
    <row r="45">
      <c r="A45" s="2" t="inlineStr">
        <is>
          <t>A</t>
        </is>
      </c>
      <c r="B45" s="2" t="inlineStr">
        <is>
          <t>Test 2 verdict</t>
        </is>
      </c>
      <c r="C45" t="str">
        <f>IF(SLOPE(E8:E10,A8:A10)&lt;0,"Met","Not met")</f>
        <v>Not met</v>
      </c>
      <c r="D45" t="str">
        <f>"Not met"</f>
        <v>Not met</v>
      </c>
      <c r="E45" t="str">
        <f>IF(C45=D45,"match","MISMATCH")</f>
        <v>match</v>
      </c>
    </row>
    <row r="46">
      <c r="A46" s="2" t="inlineStr">
        <is>
          <t>B</t>
        </is>
      </c>
      <c r="B46" s="2" t="inlineStr">
        <is>
          <t>Days per patient, year 1</t>
        </is>
      </c>
      <c r="C46" s="24">
        <f>F8</f>
        <v>20.0</v>
      </c>
      <c r="D46" s="24">
        <f>20</f>
        <v>20</v>
      </c>
      <c r="E46" t="str">
        <f>IF(ABS(C46-D46)&lt;0.000001,"match","MISMATCH")</f>
        <v>match</v>
      </c>
    </row>
    <row r="47">
      <c r="A47" s="2" t="inlineStr">
        <is>
          <t>B</t>
        </is>
      </c>
      <c r="B47" s="2" t="inlineStr">
        <is>
          <t>Days per patient, year 2</t>
        </is>
      </c>
      <c r="C47" s="24">
        <f>F9</f>
        <v>14.0</v>
      </c>
      <c r="D47" s="24">
        <f>14</f>
        <v>14</v>
      </c>
      <c r="E47" t="str">
        <f>IF(ABS(C47-D47)&lt;0.000001,"match","MISMATCH")</f>
        <v>match</v>
      </c>
    </row>
    <row r="48">
      <c r="A48" s="2" t="inlineStr">
        <is>
          <t>B</t>
        </is>
      </c>
      <c r="B48" s="2" t="inlineStr">
        <is>
          <t>Days per patient, year 3</t>
        </is>
      </c>
      <c r="C48" s="24">
        <f>F10</f>
        <v>10.0</v>
      </c>
      <c r="D48" s="24">
        <f>10</f>
        <v>10</v>
      </c>
      <c r="E48" t="str">
        <f>IF(ABS(C48-D48)&lt;0.000001,"match","MISMATCH")</f>
        <v>match</v>
      </c>
    </row>
    <row r="49">
      <c r="A49" s="2" t="inlineStr">
        <is>
          <t>B</t>
        </is>
      </c>
      <c r="B49" s="2" t="inlineStr">
        <is>
          <t>Slope of days per patient</t>
        </is>
      </c>
      <c r="C49" s="24">
        <f>SLOPE(F8:F10,A8:A10)</f>
        <v>-5.0</v>
      </c>
      <c r="D49" s="24">
        <f>-5</f>
        <v>-5.0</v>
      </c>
      <c r="E49" t="str">
        <f>IF(ABS(C49-D49)&lt;0.000001,"match","MISMATCH")</f>
        <v>match</v>
      </c>
    </row>
    <row r="50">
      <c r="A50" s="2" t="inlineStr">
        <is>
          <t>B</t>
        </is>
      </c>
      <c r="B50" s="2" t="inlineStr">
        <is>
          <t>Test 2 verdict</t>
        </is>
      </c>
      <c r="C50" t="str">
        <f>IF(SLOPE(F8:F10,A8:A10)&lt;0,"Met","Not met")</f>
        <v>Met</v>
      </c>
      <c r="D50" t="str">
        <f>"Met"</f>
        <v>Met</v>
      </c>
      <c r="E50" t="str">
        <f>IF(C50=D50,"match","MISMATCH")</f>
        <v>match</v>
      </c>
    </row>
    <row r="51">
      <c r="A51" s="2" t="inlineStr">
        <is>
          <t>C</t>
        </is>
      </c>
      <c r="B51" s="2" t="inlineStr">
        <is>
          <t>Largest reason (tie)</t>
        </is>
      </c>
      <c r="C51" t="str">
        <f>IF((IF(B13=MAX(B13,B14,B15,B16,B17,B18,B19),1,0)+IF(B14=MAX(B13,B14,B15,B16,B17,B18,B19),1,0)+IF(B15=MAX(B13,B14,B15,B16,B17,B18,B19),1,0)+IF(B16=MAX(B13,B14,B15,B16,B17,B18,B19),1,0)+IF(B17=MAX(B13,B14,B15,B16,B17,B18,B19),1,0)+IF(B18=MAX(B13,B14,B15,B16,B17,B18,B19),1,0)+IF(B19=MAX(B13,B14,B15,B16,B17,B18,B19),1,0))&gt;1,"Tie (none largest)",IF(B13=MAX(B13,B14,B15,B16,B17,B18,B19),"No bed",IF(B14=MAX(B13,B14,B15,B16,B17,B18,B19),"Behavior",IF(B15=MAX(B13,B14,B15,B16,B17,B18,B19),"Special care",IF(B16=MAX(B13,B14,B15,B16,B17,B18,B19),"Financial",IF(B17=MAX(B13,B14,B15,B16,B17,B18,B19),"Guardianship",IF(B18=MAX(B13,B14,B15,B16,B17,B18,B19),"PASARR",IF(B19=MAX(B13,B14,B15,B16,B17,B18,B19),"Other","?"))))))))</f>
        <v>Tie (none largest)</v>
      </c>
      <c r="D51" t="str">
        <f>"Tie (none largest)"</f>
        <v>Tie (none largest)</v>
      </c>
      <c r="E51" t="str">
        <f>IF(C51=D51,"match","MISMATCH")</f>
        <v>match</v>
      </c>
    </row>
    <row r="52">
      <c r="A52" s="2" t="inlineStr">
        <is>
          <t>D</t>
        </is>
      </c>
      <c r="B52" s="2" t="inlineStr">
        <is>
          <t>Largest reason (no tie)</t>
        </is>
      </c>
      <c r="C52" t="str">
        <f>IF((IF(C13=MAX(C13,C14,C15,C16,C17,C18,C19),1,0)+IF(C14=MAX(C13,C14,C15,C16,C17,C18,C19),1,0)+IF(C15=MAX(C13,C14,C15,C16,C17,C18,C19),1,0)+IF(C16=MAX(C13,C14,C15,C16,C17,C18,C19),1,0)+IF(C17=MAX(C13,C14,C15,C16,C17,C18,C19),1,0)+IF(C18=MAX(C13,C14,C15,C16,C17,C18,C19),1,0)+IF(C19=MAX(C13,C14,C15,C16,C17,C18,C19),1,0))&gt;1,"Tie (none largest)",IF(C13=MAX(C13,C14,C15,C16,C17,C18,C19),"No bed",IF(C14=MAX(C13,C14,C15,C16,C17,C18,C19),"Behavior",IF(C15=MAX(C13,C14,C15,C16,C17,C18,C19),"Special care",IF(C16=MAX(C13,C14,C15,C16,C17,C18,C19),"Financial",IF(C17=MAX(C13,C14,C15,C16,C17,C18,C19),"Guardianship",IF(C18=MAX(C13,C14,C15,C16,C17,C18,C19),"PASARR",IF(C19=MAX(C13,C14,C15,C16,C17,C18,C19),"Other","?"))))))))</f>
        <v>No bed</v>
      </c>
      <c r="D52" t="str">
        <f>"No bed"</f>
        <v>No bed</v>
      </c>
      <c r="E52" t="str">
        <f>IF(C52=D52,"match","MISMATCH")</f>
        <v>match</v>
      </c>
    </row>
    <row r="53">
      <c r="A53" s="2" t="inlineStr">
        <is>
          <t>E</t>
        </is>
      </c>
      <c r="B53" s="2" t="inlineStr">
        <is>
          <t>Test 1 verdict, row E1</t>
        </is>
      </c>
      <c r="C53" t="str">
        <f>IF(AND(NOT(B22&gt;=$B$5),NOT(C22&gt;=$B$5)),"Falsified",IF(AND(B22&gt;=$B$5,NOT(C22&gt;=$B$5)),"Not falsified; weak (rests on the COVID-confounded 2021 comparison)","Not falsified"))</f>
        <v>Not falsified</v>
      </c>
      <c r="D53" t="str">
        <f>"Not falsified"</f>
        <v>Not falsified</v>
      </c>
      <c r="E53" t="str">
        <f>IF(C53=D53,"match","MISMATCH")</f>
        <v>match</v>
      </c>
    </row>
    <row r="54">
      <c r="A54" s="2" t="inlineStr">
        <is>
          <t>E</t>
        </is>
      </c>
      <c r="B54" s="2" t="inlineStr">
        <is>
          <t>Test 1 verdict, row E2</t>
        </is>
      </c>
      <c r="C54" t="str">
        <f>IF(AND(NOT(B23&gt;=$B$5),NOT(C23&gt;=$B$5)),"Falsified",IF(AND(B23&gt;=$B$5,NOT(C23&gt;=$B$5)),"Not falsified; weak (rests on the COVID-confounded 2021 comparison)","Not falsified"))</f>
        <v>Not falsified; weak (rests on the COVID-confounded 2021 comparison)</v>
      </c>
      <c r="D54" t="str">
        <f>"Not falsified; weak (rests on the COVID-confounded 2021 comparison)"</f>
        <v>Not falsified; weak (rests on the COVID-confounded 2021 comparison)</v>
      </c>
      <c r="E54" t="str">
        <f>IF(C54=D54,"match","MISMATCH")</f>
        <v>match</v>
      </c>
    </row>
    <row r="55">
      <c r="A55" s="2" t="inlineStr">
        <is>
          <t>E</t>
        </is>
      </c>
      <c r="B55" s="2" t="inlineStr">
        <is>
          <t>Test 1 verdict, row E3</t>
        </is>
      </c>
      <c r="C55" t="str">
        <f>IF(AND(NOT(B24&gt;=$B$5),NOT(C24&gt;=$B$5)),"Falsified",IF(AND(B24&gt;=$B$5,NOT(C24&gt;=$B$5)),"Not falsified; weak (rests on the COVID-confounded 2021 comparison)","Not falsified"))</f>
        <v>Not falsified</v>
      </c>
      <c r="D55" t="str">
        <f>"Not falsified"</f>
        <v>Not falsified</v>
      </c>
      <c r="E55" t="str">
        <f>IF(C55=D55,"match","MISMATCH")</f>
        <v>match</v>
      </c>
    </row>
    <row r="56">
      <c r="A56" s="2" t="inlineStr">
        <is>
          <t>E</t>
        </is>
      </c>
      <c r="B56" s="2" t="inlineStr">
        <is>
          <t>Test 1 verdict, row E4</t>
        </is>
      </c>
      <c r="C56" t="str">
        <f>IF(AND(NOT(B25&gt;=$B$5),NOT(C25&gt;=$B$5)),"Falsified",IF(AND(B25&gt;=$B$5,NOT(C25&gt;=$B$5)),"Not falsified; weak (rests on the COVID-confounded 2021 comparison)","Not falsified"))</f>
        <v>Falsified</v>
      </c>
      <c r="D56" t="str">
        <f>"Falsified"</f>
        <v>Falsified</v>
      </c>
      <c r="E56" t="str">
        <f>IF(C56=D56,"match","MISMATCH")</f>
        <v>match</v>
      </c>
    </row>
    <row r="57">
      <c r="A57" s="2" t="inlineStr">
        <is>
          <t>E</t>
        </is>
      </c>
      <c r="B57" s="2" t="inlineStr">
        <is>
          <t>Test 1 verdict, row E5</t>
        </is>
      </c>
      <c r="C57" t="str">
        <f>IF(AND(NOT(B26&gt;=$B$5),NOT(C26&gt;=$B$5)),"Falsified",IF(AND(B26&gt;=$B$5,NOT(C26&gt;=$B$5)),"Not falsified; weak (rests on the COVID-confounded 2021 comparison)","Not falsified"))</f>
        <v>Not falsified; weak (rests on the COVID-confounded 2021 comparison)</v>
      </c>
      <c r="D57" t="str">
        <f>"Not falsified; weak (rests on the COVID-confounded 2021 comparison)"</f>
        <v>Not falsified; weak (rests on the COVID-confounded 2021 comparison)</v>
      </c>
      <c r="E57" t="str">
        <f>IF(C57=D57,"match","MISMATCH")</f>
        <v>match</v>
      </c>
    </row>
    <row r="58">
      <c r="B58" s="2" t="inlineStr">
        <is>
          <t>Rows matching</t>
        </is>
      </c>
      <c r="C58" s="3">
        <f>COUNTIF(E29:E57,"match")</f>
        <v>29</v>
      </c>
      <c r="D58" s="3">
        <f>ROWS(E29:E57)</f>
        <v>29</v>
      </c>
    </row>
    <row r="60">
      <c r="A60" s="15" t="inlineStr">
        <is>
          <t>Case E feeds the drops (in points) straight into the verdict formula; the share-to-drop step is covered by the regression anchors on Checks.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6" customWidth="1" style="7" min="1" max="1"/>
    <col width="14" customWidth="1" style="7" min="2" max="2"/>
    <col width="96" customWidth="1" style="7" min="3" max="3"/>
    <col width="18" customWidth="1" style="7" min="4" max="4"/>
    <col width="16" customWidth="1" style="7" min="5" max="5"/>
    <col width="13" customWidth="1" style="7" min="6" max="6"/>
    <col width="10" customWidth="1" style="7" min="7" max="7"/>
  </cols>
  <sheetData>
    <row r="1">
      <c r="A1" s="1" t="inlineStr">
        <is>
          <t>Checks: regression anchors, invariants and error scans (spec Validation rules)</t>
        </is>
      </c>
    </row>
    <row r="3">
      <c r="A3" s="4" t="inlineStr">
        <is>
          <t>Regression anchors (expected to change when an input is corrected; not part of ALL CHECKS)</t>
        </is>
      </c>
    </row>
    <row r="4">
      <c r="A4" s="5" t="inlineStr">
        <is>
          <t>#</t>
        </is>
      </c>
      <c r="B4" s="5" t="inlineStr">
        <is>
          <t>Group</t>
        </is>
      </c>
      <c r="C4" s="5" t="inlineStr">
        <is>
          <t>Check</t>
        </is>
      </c>
      <c r="D4" s="5" t="inlineStr">
        <is>
          <t>Computed</t>
        </is>
      </c>
      <c r="E4" s="5" t="inlineStr">
        <is>
          <t>Expected</t>
        </is>
      </c>
      <c r="F4" s="5" t="inlineStr">
        <is>
          <t>Tolerance</t>
        </is>
      </c>
      <c r="G4" s="5" t="inlineStr">
        <is>
          <t>Result</t>
        </is>
      </c>
    </row>
    <row r="5">
      <c r="A5" s="29">
        <f>1</f>
        <v>1</v>
      </c>
      <c r="B5" s="2" t="inlineStr">
        <is>
          <t>Anchor</t>
        </is>
      </c>
      <c r="C5" s="2" t="inlineStr">
        <is>
          <t>DAYS_PER_PT(2023)</t>
        </is>
      </c>
      <c r="D5" s="24">
        <f>INDEX(DAYS_PER_PT,MATCH(2023,YEAR,0))</f>
        <v>23.018559556786702</v>
      </c>
      <c r="E5" s="24">
        <f>23.02</f>
        <v>23.02</v>
      </c>
      <c r="F5">
        <f>0.005</f>
        <v>0.005</v>
      </c>
      <c r="G5" t="str">
        <f>IF(AND(ISNUMBER(D5),ISNUMBER(E5)),IF(ABS(D5-E5)&lt;=F5,"PASS","FAIL"),"FAIL")</f>
        <v>PASS</v>
      </c>
    </row>
    <row r="6">
      <c r="A6" s="29">
        <f>2</f>
        <v>2</v>
      </c>
      <c r="B6" s="2" t="inlineStr">
        <is>
          <t>Anchor</t>
        </is>
      </c>
      <c r="C6" s="2" t="inlineStr">
        <is>
          <t>DAYS_PER_PT(2024)</t>
        </is>
      </c>
      <c r="D6" s="24">
        <f>INDEX(DAYS_PER_PT,MATCH(2024,YEAR,0))</f>
        <v>19.492795389048993</v>
      </c>
      <c r="E6" s="24">
        <f>19.49</f>
        <v>19.49</v>
      </c>
      <c r="F6">
        <f>0.005</f>
        <v>0.005</v>
      </c>
      <c r="G6" t="str">
        <f>IF(AND(ISNUMBER(D6),ISNUMBER(E6)),IF(ABS(D6-E6)&lt;=F6,"PASS","FAIL"),"FAIL")</f>
        <v>PASS</v>
      </c>
    </row>
    <row r="7">
      <c r="A7" s="29">
        <f>3</f>
        <v>3</v>
      </c>
      <c r="B7" s="2" t="inlineStr">
        <is>
          <t>Anchor</t>
        </is>
      </c>
      <c r="C7" s="2" t="inlineStr">
        <is>
          <t>EXCESS_DAYS(2023)</t>
        </is>
      </c>
      <c r="D7" s="3">
        <f>INDEX(EXCESS_DAYS,MATCH(2023,YEAR,0))</f>
        <v>32557.0</v>
      </c>
      <c r="E7" s="3">
        <f>32557</f>
        <v>32557</v>
      </c>
      <c r="F7">
        <f>0.5</f>
        <v>0.5</v>
      </c>
      <c r="G7" t="str">
        <f>IF(AND(ISNUMBER(D7),ISNUMBER(E7)),IF(ABS(D7-E7)&lt;=F7,"PASS","FAIL"),"FAIL")</f>
        <v>PASS</v>
      </c>
    </row>
    <row r="8">
      <c r="A8" s="29">
        <f>4</f>
        <v>4</v>
      </c>
      <c r="B8" s="2" t="inlineStr">
        <is>
          <t>Anchor</t>
        </is>
      </c>
      <c r="C8" s="2" t="inlineStr">
        <is>
          <t>EXCESS_DAYS(2024)</t>
        </is>
      </c>
      <c r="D8" s="3">
        <f>INDEX(EXCESS_DAYS,MATCH(2024,YEAR,0))</f>
        <v>17154.0</v>
      </c>
      <c r="E8" s="3">
        <f>17154</f>
        <v>17154</v>
      </c>
      <c r="F8">
        <f>0.5</f>
        <v>0.5</v>
      </c>
      <c r="G8" t="str">
        <f>IF(AND(ISNUMBER(D8),ISNUMBER(E8)),IF(ABS(D8-E8)&lt;=F8,"PASS","FAIL"),"FAIL")</f>
        <v>PASS</v>
      </c>
    </row>
    <row r="9">
      <c r="A9" s="29">
        <f>5</f>
        <v>5</v>
      </c>
      <c r="B9" s="2" t="inlineStr">
        <is>
          <t>Anchor</t>
        </is>
      </c>
      <c r="C9" s="2" t="inlineStr">
        <is>
          <t>EXCESS_BEDS(2023) (365 days)</t>
        </is>
      </c>
      <c r="D9" s="18">
        <f>INDEX(EXCESS_BEDS,MATCH(2023,YEAR,0))</f>
        <v>89.1972602739726</v>
      </c>
      <c r="E9" s="18">
        <f>89.2</f>
        <v>89.2</v>
      </c>
      <c r="F9">
        <f>0.05</f>
        <v>0.05</v>
      </c>
      <c r="G9" t="str">
        <f>IF(AND(ISNUMBER(D9),ISNUMBER(E9)),IF(ABS(D9-E9)&lt;=F9,"PASS","FAIL"),"FAIL")</f>
        <v>PASS</v>
      </c>
    </row>
    <row r="10">
      <c r="A10" s="29">
        <f>6</f>
        <v>6</v>
      </c>
      <c r="B10" s="2" t="inlineStr">
        <is>
          <t>Anchor</t>
        </is>
      </c>
      <c r="C10" s="2" t="inlineStr">
        <is>
          <t>EXCESS_BEDS(2024) (366 days)</t>
        </is>
      </c>
      <c r="D10" s="18">
        <f>INDEX(EXCESS_BEDS,MATCH(2024,YEAR,0))</f>
        <v>46.868852459016395</v>
      </c>
      <c r="E10" s="18">
        <f>46.9</f>
        <v>46.9</v>
      </c>
      <c r="F10">
        <f>0.05</f>
        <v>0.05</v>
      </c>
      <c r="G10" t="str">
        <f>IF(AND(ISNUMBER(D10),ISNUMBER(E10)),IF(ABS(D10-E10)&lt;=F10,"PASS","FAIL"),"FAIL")</f>
        <v>PASS</v>
      </c>
    </row>
    <row r="11">
      <c r="A11" s="29">
        <f>7</f>
        <v>7</v>
      </c>
      <c r="B11" s="2" t="inlineStr">
        <is>
          <t>Anchor</t>
        </is>
      </c>
      <c r="C11" s="2" t="inlineStr">
        <is>
          <t>EXCESS_DAYS in 2017, 2018, 2020, 2021 (sum)</t>
        </is>
      </c>
      <c r="D11" s="3">
        <f>INDEX(EXCESS_DAYS,MATCH(2017,YEAR,0))+INDEX(EXCESS_DAYS,MATCH(2018,YEAR,0))+INDEX(EXCESS_DAYS,MATCH(2020,YEAR,0))+INDEX(EXCESS_DAYS,MATCH(2021,YEAR,0))</f>
        <v>0.0</v>
      </c>
      <c r="E11" s="3">
        <f>0</f>
        <v>0</v>
      </c>
      <c r="F11">
        <f>0</f>
        <v>0</v>
      </c>
      <c r="G11" t="str">
        <f>IF(AND(ISNUMBER(D11),ISNUMBER(E11)),IF(ABS(D11-E11)&lt;=F11,"PASS","FAIL"),"FAIL")</f>
        <v>PASS</v>
      </c>
    </row>
    <row r="12">
      <c r="A12" s="29">
        <f>8</f>
        <v>8</v>
      </c>
      <c r="B12" s="2" t="inlineStr">
        <is>
          <t>Anchor</t>
        </is>
      </c>
      <c r="C12" s="2" t="inlineStr">
        <is>
          <t>GAP_PER_PT(2017)</t>
        </is>
      </c>
      <c r="D12" s="24">
        <f>INDEX(GAP_PER_PT,MATCH(2017,YEAR,0))</f>
        <v>-4.064651689025375</v>
      </c>
      <c r="E12" s="24">
        <f>-4.06</f>
        <v>-4.06</v>
      </c>
      <c r="F12">
        <f>0.005</f>
        <v>0.005</v>
      </c>
      <c r="G12" t="str">
        <f>IF(AND(ISNUMBER(D12),ISNUMBER(E12)),IF(ABS(D12-E12)&lt;=F12,"PASS","FAIL"),"FAIL")</f>
        <v>PASS</v>
      </c>
    </row>
    <row r="13">
      <c r="A13" s="29">
        <f>9</f>
        <v>9</v>
      </c>
      <c r="B13" s="2" t="inlineStr">
        <is>
          <t>Anchor</t>
        </is>
      </c>
      <c r="C13" s="2" t="inlineStr">
        <is>
          <t>GAP_PER_PT(2024)</t>
        </is>
      </c>
      <c r="D13" s="24">
        <f>INDEX(GAP_PER_PT,MATCH(2024,YEAR,0))</f>
        <v>5.492795389048993</v>
      </c>
      <c r="E13" s="24">
        <f>5.49</f>
        <v>5.49</v>
      </c>
      <c r="F13">
        <f>0.005</f>
        <v>0.005</v>
      </c>
      <c r="G13" t="str">
        <f>IF(AND(ISNUMBER(D13),ISNUMBER(E13)),IF(ABS(D13-E13)&lt;=F13,"PASS","FAIL"),"FAIL")</f>
        <v>PASS</v>
      </c>
    </row>
    <row r="14">
      <c r="A14" s="29">
        <f>10</f>
        <v>10</v>
      </c>
      <c r="B14" s="2" t="inlineStr">
        <is>
          <t>Anchor</t>
        </is>
      </c>
      <c r="C14" s="2" t="inlineStr">
        <is>
          <t>WL_RATE_AVG(2023)</t>
        </is>
      </c>
      <c r="D14" s="30">
        <f>INDEX(WL_RATE_AVG,1)</f>
        <v>293.245</v>
      </c>
      <c r="E14" s="30">
        <f>293.245</f>
        <v>293.245</v>
      </c>
      <c r="F14">
        <f>0.0005</f>
        <v>0.0005</v>
      </c>
      <c r="G14" t="str">
        <f>IF(AND(ISNUMBER(D14),ISNUMBER(E14)),IF(ABS(D14-E14)&lt;=F14,"PASS","FAIL"),"FAIL")</f>
        <v>PASS</v>
      </c>
    </row>
    <row r="15">
      <c r="A15" s="29">
        <f>11</f>
        <v>11</v>
      </c>
      <c r="B15" s="2" t="inlineStr">
        <is>
          <t>Anchor</t>
        </is>
      </c>
      <c r="C15" s="2" t="inlineStr">
        <is>
          <t>WL_RATE_AVG(2024)</t>
        </is>
      </c>
      <c r="D15" s="30">
        <f>INDEX(WL_RATE_AVG,2)</f>
        <v>460.28</v>
      </c>
      <c r="E15" s="30">
        <f>460.28</f>
        <v>460.28</v>
      </c>
      <c r="F15">
        <f>0.005</f>
        <v>0.005</v>
      </c>
      <c r="G15" t="str">
        <f>IF(AND(ISNUMBER(D15),ISNUMBER(E15)),IF(ABS(D15-E15)&lt;=F15,"PASS","FAIL"),"FAIL")</f>
        <v>PASS</v>
      </c>
    </row>
    <row r="16">
      <c r="A16" s="29">
        <f>12</f>
        <v>12</v>
      </c>
      <c r="B16" s="2" t="inlineStr">
        <is>
          <t>Anchor</t>
        </is>
      </c>
      <c r="C16" s="2" t="inlineStr">
        <is>
          <t>NET_COST_LO(2024)</t>
        </is>
      </c>
      <c r="D16" s="35">
        <f>INDEX(NET_COST_LO,2)</f>
        <v>89.72000000000003</v>
      </c>
      <c r="E16" s="35">
        <f>89.72</f>
        <v>89.72</v>
      </c>
      <c r="F16">
        <f>0.005</f>
        <v>0.005</v>
      </c>
      <c r="G16" t="str">
        <f>IF(AND(ISNUMBER(D16),ISNUMBER(E16)),IF(ABS(D16-E16)&lt;=F16,"PASS","FAIL"),"FAIL")</f>
        <v>PASS</v>
      </c>
    </row>
    <row r="17">
      <c r="A17" s="29">
        <f>13</f>
        <v>13</v>
      </c>
      <c r="B17" s="2" t="inlineStr">
        <is>
          <t>Anchor</t>
        </is>
      </c>
      <c r="C17" s="2" t="inlineStr">
        <is>
          <t>NET_COST_HI(2024)</t>
        </is>
      </c>
      <c r="D17" s="35">
        <f>INDEX(NET_COST_HI,2)</f>
        <v>1009.72</v>
      </c>
      <c r="E17" s="35">
        <f>1009.72</f>
        <v>1009.72</v>
      </c>
      <c r="F17">
        <f>0.005</f>
        <v>0.005</v>
      </c>
      <c r="G17" t="str">
        <f>IF(AND(ISNUMBER(D17),ISNUMBER(E17)),IF(ABS(D17-E17)&lt;=F17,"PASS","FAIL"),"FAIL")</f>
        <v>PASS</v>
      </c>
    </row>
    <row r="18">
      <c r="A18" s="29">
        <f>14</f>
        <v>14</v>
      </c>
      <c r="B18" s="2" t="inlineStr">
        <is>
          <t>Anchor</t>
        </is>
      </c>
      <c r="C18" s="2" t="inlineStr">
        <is>
          <t>EXCESS_COST_LO(2024) (about)</t>
        </is>
      </c>
      <c r="D18" s="36">
        <f>INDEX(EXCESS_COST_LO,2)</f>
        <v>1539056.8800000004</v>
      </c>
      <c r="E18" s="36">
        <f>1539057</f>
        <v>1539057</v>
      </c>
      <c r="F18">
        <f>0.5</f>
        <v>0.5</v>
      </c>
      <c r="G18" t="str">
        <f>IF(AND(ISNUMBER(D18),ISNUMBER(E18)),IF(ABS(D18-E18)&lt;=F18,"PASS","FAIL"),"FAIL")</f>
        <v>PASS</v>
      </c>
    </row>
    <row r="19">
      <c r="A19" s="29">
        <f>15</f>
        <v>15</v>
      </c>
      <c r="B19" s="2" t="inlineStr">
        <is>
          <t>Anchor</t>
        </is>
      </c>
      <c r="C19" s="2" t="inlineStr">
        <is>
          <t>EXCESS_COST_HI(2024) (about)</t>
        </is>
      </c>
      <c r="D19" s="36">
        <f>INDEX(EXCESS_COST_HI,2)</f>
        <v>17320736.88</v>
      </c>
      <c r="E19" s="36">
        <f>17320737</f>
        <v>17320737</v>
      </c>
      <c r="F19">
        <f>0.5</f>
        <v>0.5</v>
      </c>
      <c r="G19" t="str">
        <f>IF(AND(ISNUMBER(D19),ISNUMBER(E19)),IF(ABS(D19-E19)&lt;=F19,"PASS","FAIL"),"FAIL")</f>
        <v>PASS</v>
      </c>
    </row>
    <row r="20">
      <c r="A20" s="29">
        <f>16</f>
        <v>16</v>
      </c>
      <c r="B20" s="2" t="inlineStr">
        <is>
          <t>Anchor</t>
        </is>
      </c>
      <c r="C20" s="2" t="inlineStr">
        <is>
          <t>NET_COST_LO_NOW</t>
        </is>
      </c>
      <c r="D20" s="35">
        <f>NET_COST_LO_NOW</f>
        <v>63.24000000000001</v>
      </c>
      <c r="E20" s="35">
        <f>63.24</f>
        <v>63.24</v>
      </c>
      <c r="F20">
        <f>0.005</f>
        <v>0.005</v>
      </c>
      <c r="G20" t="str">
        <f>IF(AND(ISNUMBER(D20),ISNUMBER(E20)),IF(ABS(D20-E20)&lt;=F20,"PASS","FAIL"),"FAIL")</f>
        <v>PASS</v>
      </c>
    </row>
    <row r="21">
      <c r="A21" s="29">
        <f>17</f>
        <v>17</v>
      </c>
      <c r="B21" s="2" t="inlineStr">
        <is>
          <t>Anchor</t>
        </is>
      </c>
      <c r="C21" s="2" t="inlineStr">
        <is>
          <t>NET_COST_HI_NOW</t>
        </is>
      </c>
      <c r="D21" s="35">
        <f>NET_COST_HI_NOW</f>
        <v>983.24</v>
      </c>
      <c r="E21" s="35">
        <f>983.24</f>
        <v>983.24</v>
      </c>
      <c r="F21">
        <f>0.005</f>
        <v>0.005</v>
      </c>
      <c r="G21" t="str">
        <f>IF(AND(ISNUMBER(D21),ISNUMBER(E21)),IF(ABS(D21-E21)&lt;=F21,"PASS","FAIL"),"FAIL")</f>
        <v>PASS</v>
      </c>
    </row>
    <row r="22">
      <c r="A22" s="29">
        <f>18</f>
        <v>18</v>
      </c>
      <c r="B22" s="2" t="inlineStr">
        <is>
          <t>Anchor</t>
        </is>
      </c>
      <c r="C22" s="2" t="inlineStr">
        <is>
          <t>CEIL_PER_PT_LO</t>
        </is>
      </c>
      <c r="D22" s="35">
        <f>CEIL_PER_PT_LO</f>
        <v>1232.7243804034586</v>
      </c>
      <c r="E22" s="35">
        <f>1232.72</f>
        <v>1232.72</v>
      </c>
      <c r="F22">
        <f>0.005</f>
        <v>0.005</v>
      </c>
      <c r="G22" t="str">
        <f>IF(AND(ISNUMBER(D22),ISNUMBER(E22)),IF(ABS(D22-E22)&lt;=F22,"PASS","FAIL"),"FAIL")</f>
        <v>PASS</v>
      </c>
    </row>
    <row r="23">
      <c r="A23" s="29">
        <f>19</f>
        <v>19</v>
      </c>
      <c r="B23" s="2" t="inlineStr">
        <is>
          <t>Anchor</t>
        </is>
      </c>
      <c r="C23" s="2" t="inlineStr">
        <is>
          <t>CEIL_PER_PT_HI</t>
        </is>
      </c>
      <c r="D23" s="35">
        <f>CEIL_PER_PT_HI</f>
        <v>19166.096138328532</v>
      </c>
      <c r="E23" s="35">
        <f>19166.10</f>
        <v>19166.1</v>
      </c>
      <c r="F23">
        <f>0.005</f>
        <v>0.005</v>
      </c>
      <c r="G23" t="str">
        <f>IF(AND(ISNUMBER(D23),ISNUMBER(E23)),IF(ABS(D23-E23)&lt;=F23,"PASS","FAIL"),"FAIL")</f>
        <v>PASS</v>
      </c>
    </row>
    <row r="24">
      <c r="A24" s="29">
        <f>20</f>
        <v>20</v>
      </c>
      <c r="B24" s="2" t="inlineStr">
        <is>
          <t>Anchor</t>
        </is>
      </c>
      <c r="C24" s="2" t="inlineStr">
        <is>
          <t>WL_DAYS_CHANGE_2024</t>
        </is>
      </c>
      <c r="D24" s="19">
        <f>WL_DAYS_CHANGE_2024</f>
        <v>-0.26741037582584204</v>
      </c>
      <c r="E24" s="19">
        <f>-0.267</f>
        <v>-0.267</v>
      </c>
      <c r="F24">
        <f>0.0005</f>
        <v>0.0005</v>
      </c>
      <c r="G24" t="str">
        <f>IF(AND(ISNUMBER(D24),ISNUMBER(E24)),IF(ABS(D24-E24)&lt;=F24,"PASS","FAIL"),"FAIL")</f>
        <v>PASS</v>
      </c>
    </row>
    <row r="25">
      <c r="A25" s="29">
        <f>21</f>
        <v>21</v>
      </c>
      <c r="B25" s="2" t="inlineStr">
        <is>
          <t>Anchor</t>
        </is>
      </c>
      <c r="C25" s="2" t="inlineStr">
        <is>
          <t>T1_DROP_2021 (points)</t>
        </is>
      </c>
      <c r="D25" s="24">
        <f>T1_DROP_2021*100</f>
        <v>-1.917989417989416</v>
      </c>
      <c r="E25" s="24">
        <f>-1.92</f>
        <v>-1.92</v>
      </c>
      <c r="F25">
        <f>0.005</f>
        <v>0.005</v>
      </c>
      <c r="G25" t="str">
        <f>IF(AND(ISNUMBER(D25),ISNUMBER(E25)),IF(ABS(D25-E25)&lt;=F25,"PASS","FAIL"),"FAIL")</f>
        <v>PASS</v>
      </c>
    </row>
    <row r="26">
      <c r="A26" s="29">
        <f>22</f>
        <v>22</v>
      </c>
      <c r="B26" s="2" t="inlineStr">
        <is>
          <t>Anchor</t>
        </is>
      </c>
      <c r="C26" s="2" t="inlineStr">
        <is>
          <t>T1_DROP_2024 (points)</t>
        </is>
      </c>
      <c r="D26" s="24">
        <f>T1_DROP_2024*100</f>
        <v>-11.121871500771721</v>
      </c>
      <c r="E26" s="24">
        <f>-11.12</f>
        <v>-11.12</v>
      </c>
      <c r="F26">
        <f>0.005</f>
        <v>0.005</v>
      </c>
      <c r="G26" t="str">
        <f>IF(AND(ISNUMBER(D26),ISNUMBER(E26)),IF(ABS(D26-E26)&lt;=F26,"PASS","FAIL"),"FAIL")</f>
        <v>PASS</v>
      </c>
    </row>
    <row r="27">
      <c r="A27" s="29">
        <f>23</f>
        <v>23</v>
      </c>
      <c r="B27" s="2" t="inlineStr">
        <is>
          <t>Anchor</t>
        </is>
      </c>
      <c r="C27" s="2" t="inlineStr">
        <is>
          <t>T2_SLOPE (about)</t>
        </is>
      </c>
      <c r="D27" s="24">
        <f>T2_SLOPE</f>
        <v>1.8814212714379457</v>
      </c>
      <c r="E27" s="24">
        <f>1.88</f>
        <v>1.88</v>
      </c>
      <c r="F27">
        <f>0.005</f>
        <v>0.005</v>
      </c>
      <c r="G27" t="str">
        <f>IF(AND(ISNUMBER(D27),ISNUMBER(E27)),IF(ABS(D27-E27)&lt;=F27,"PASS","FAIL"),"FAIL")</f>
        <v>PASS</v>
      </c>
    </row>
    <row r="28">
      <c r="A28" s="29">
        <f>24</f>
        <v>24</v>
      </c>
      <c r="B28" s="2" t="inlineStr">
        <is>
          <t>Anchor</t>
        </is>
      </c>
      <c r="C28" s="2" t="inlineStr">
        <is>
          <t>T3_YEARS</t>
        </is>
      </c>
      <c r="D28" s="3">
        <f>T3_YEARS</f>
        <v>5</v>
      </c>
      <c r="E28" s="3">
        <f>5</f>
        <v>5</v>
      </c>
      <c r="F28">
        <f>0</f>
        <v>0</v>
      </c>
      <c r="G28" t="str">
        <f>IF(AND(ISNUMBER(D28),ISNUMBER(E28)),IF(ABS(D28-E28)&lt;=F28,"PASS","FAIL"),"FAIL")</f>
        <v>PASS</v>
      </c>
    </row>
    <row r="29">
      <c r="A29" s="29">
        <f>25</f>
        <v>25</v>
      </c>
      <c r="B29" s="2" t="inlineStr">
        <is>
          <t>Anchor</t>
        </is>
      </c>
      <c r="C29" s="2" t="inlineStr">
        <is>
          <t>T3: no bed largest in each of 2017 to 2021</t>
        </is>
      </c>
      <c r="D29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E29" t="b">
        <f>TRUE</f>
        <v>1</v>
      </c>
      <c r="F29" t="str">
        <f>"exact"</f>
        <v>exact</v>
      </c>
      <c r="G29" t="str">
        <f>IF(D29=E29,"PASS","FAIL")</f>
        <v>PASS</v>
      </c>
    </row>
    <row r="30">
      <c r="A30" s="29">
        <f>26</f>
        <v>26</v>
      </c>
      <c r="B30" s="2" t="inlineStr">
        <is>
          <t>Anchor</t>
        </is>
      </c>
      <c r="C30" s="2" t="inlineStr">
        <is>
          <t>REASON_SUM(y) = DEC31_TOTAL(y), 2018 to 2024</t>
        </is>
      </c>
      <c r="D30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E30" t="b">
        <f>TRUE</f>
        <v>1</v>
      </c>
      <c r="F30" t="str">
        <f>"exact"</f>
        <v>exact</v>
      </c>
      <c r="G30" t="str">
        <f>IF(D30=E30,"PASS","FAIL")</f>
        <v>PASS</v>
      </c>
    </row>
    <row r="31">
      <c r="A31" s="29">
        <f>27</f>
        <v>27</v>
      </c>
      <c r="B31" s="2" t="inlineStr">
        <is>
          <t>Anchor</t>
        </is>
      </c>
      <c r="C31" s="2" t="inlineStr">
        <is>
          <t>REASON_SUM(2017)</t>
        </is>
      </c>
      <c r="D31" s="3">
        <f>INDEX(REASON_SUM,MATCH(2017,YEAR,0))</f>
        <v>120.0</v>
      </c>
      <c r="E31" s="3">
        <f>120</f>
        <v>120</v>
      </c>
      <c r="F31">
        <f>0</f>
        <v>0</v>
      </c>
      <c r="G31" t="str">
        <f>IF(AND(ISNUMBER(D31),ISNUMBER(E31)),IF(ABS(D31-E31)&lt;=F31,"PASS","FAIL"),"FAIL")</f>
        <v>PASS</v>
      </c>
    </row>
    <row r="32">
      <c r="A32" s="29">
        <f>28</f>
        <v>28</v>
      </c>
      <c r="B32" s="2" t="inlineStr">
        <is>
          <t>Anchor</t>
        </is>
      </c>
      <c r="C32" s="2" t="inlineStr">
        <is>
          <t>DEC31_TOTAL(2017)</t>
        </is>
      </c>
      <c r="D32" s="3">
        <f>INDEX(DEC31_TOTAL,MATCH(2017,YEAR,0))</f>
        <v>157</v>
      </c>
      <c r="E32" s="3">
        <f>157</f>
        <v>157</v>
      </c>
      <c r="F32">
        <f>0</f>
        <v>0</v>
      </c>
      <c r="G32" t="str">
        <f>IF(AND(ISNUMBER(D32),ISNUMBER(E32)),IF(ABS(D32-E32)&lt;=F32,"PASS","FAIL"),"FAIL")</f>
        <v>PASS</v>
      </c>
    </row>
    <row r="33">
      <c r="A33" s="29">
        <f>29</f>
        <v>29</v>
      </c>
      <c r="B33" s="2" t="inlineStr">
        <is>
          <t>Anchor</t>
        </is>
      </c>
      <c r="C33" s="2" t="inlineStr">
        <is>
          <t>KFF_COST_DAY x 0.15 (arithmetic on the input)</t>
        </is>
      </c>
      <c r="D33" s="35">
        <f>KFF_COST_DAY*0.15</f>
        <v>549.6</v>
      </c>
      <c r="E33" s="35">
        <f>549.6</f>
        <v>549.6</v>
      </c>
      <c r="F33">
        <f>0.005</f>
        <v>0.005</v>
      </c>
      <c r="G33" t="str">
        <f>IF(AND(ISNUMBER(D33),ISNUMBER(E33)),IF(ABS(D33-E33)&lt;=F33,"PASS","FAIL"),"FAIL")</f>
        <v>PASS</v>
      </c>
    </row>
    <row r="34">
      <c r="A34" s="29">
        <f>30</f>
        <v>30</v>
      </c>
      <c r="B34" s="2" t="inlineStr">
        <is>
          <t>Anchor</t>
        </is>
      </c>
      <c r="C34" s="2" t="inlineStr">
        <is>
          <t>KFF_COST_DAY x 0.40 (arithmetic on the input)</t>
        </is>
      </c>
      <c r="D34" s="35">
        <f>KFF_COST_DAY*0.4</f>
        <v>1465.6000000000001</v>
      </c>
      <c r="E34" s="35">
        <f>1465.6</f>
        <v>1465.6</v>
      </c>
      <c r="F34">
        <f>0.005</f>
        <v>0.005</v>
      </c>
      <c r="G34" t="str">
        <f>IF(AND(ISNUMBER(D34),ISNUMBER(E34)),IF(ABS(D34-E34)&lt;=F34,"PASS","FAIL"),"FAIL")</f>
        <v>PASS</v>
      </c>
    </row>
    <row r="35">
      <c r="A35" s="29">
        <f>31</f>
        <v>31</v>
      </c>
      <c r="B35" s="2" t="inlineStr">
        <is>
          <t>Anchor</t>
        </is>
      </c>
      <c r="C35" s="2" t="inlineStr">
        <is>
          <t>KFF_COST_DAY x 0.15 within rounding (to $10) of AVOID_COST_LO</t>
        </is>
      </c>
      <c r="D35" s="35">
        <f>KFF_COST_DAY*0.15</f>
        <v>549.6</v>
      </c>
      <c r="E35" s="35">
        <f>AVOID_COST_LO</f>
        <v>550</v>
      </c>
      <c r="F35">
        <f>5</f>
        <v>5</v>
      </c>
      <c r="G35" t="str">
        <f>IF(AND(ISNUMBER(D35),ISNUMBER(E35)),IF(ABS(D35-E35)&lt;=F35,"PASS","FAIL"),"FAIL")</f>
        <v>PASS</v>
      </c>
    </row>
    <row r="36">
      <c r="A36" s="29">
        <f>32</f>
        <v>32</v>
      </c>
      <c r="B36" s="2" t="inlineStr">
        <is>
          <t>Anchor</t>
        </is>
      </c>
      <c r="C36" s="2" t="inlineStr">
        <is>
          <t>KFF_COST_DAY x 0.40 within rounding (to $10) of AVOID_COST_HI</t>
        </is>
      </c>
      <c r="D36" s="35">
        <f>KFF_COST_DAY*0.4</f>
        <v>1465.6000000000001</v>
      </c>
      <c r="E36" s="35">
        <f>AVOID_COST_HI</f>
        <v>1470</v>
      </c>
      <c r="F36">
        <f>5</f>
        <v>5</v>
      </c>
      <c r="G36" t="str">
        <f>IF(AND(ISNUMBER(D36),ISNUMBER(E36)),IF(ABS(D36-E36)&lt;=F36,"PASS","FAIL"),"FAIL")</f>
        <v>PASS</v>
      </c>
    </row>
    <row r="37">
      <c r="A37" s="29">
        <f>33</f>
        <v>33</v>
      </c>
      <c r="B37" s="2" t="inlineStr">
        <is>
          <t>Anchor</t>
        </is>
      </c>
      <c r="C37" s="2" t="inlineStr">
        <is>
          <t>CAP_RATIO(2024)</t>
        </is>
      </c>
      <c r="D37" s="24">
        <f>INDEX(CAP_RATIO,MATCH(2024,YEAR,0))</f>
        <v>11.692200069954529</v>
      </c>
      <c r="E37" s="24">
        <f>11.69</f>
        <v>11.69</v>
      </c>
      <c r="F37">
        <f>0.005</f>
        <v>0.005</v>
      </c>
      <c r="G37" t="str">
        <f>IF(AND(ISNUMBER(D37),ISNUMBER(E37)),IF(ABS(D37-E37)&lt;=F37,"PASS","FAIL"),"FAIL")</f>
        <v>PASS</v>
      </c>
    </row>
    <row r="38">
      <c r="A38" s="29">
        <f>34</f>
        <v>34</v>
      </c>
      <c r="B38" s="2" t="inlineStr">
        <is>
          <t>Anchor</t>
        </is>
      </c>
      <c r="C38" s="2" t="inlineStr">
        <is>
          <t>CAP_RATIO_STAFF_2024</t>
        </is>
      </c>
      <c r="D38" s="24">
        <f>CAP_RATIO_STAFF_2024</f>
        <v>7.531654424623994</v>
      </c>
      <c r="E38" s="24">
        <f>7.53</f>
        <v>7.53</v>
      </c>
      <c r="F38">
        <f>0.005</f>
        <v>0.005</v>
      </c>
      <c r="G38" t="str">
        <f>IF(AND(ISNUMBER(D38),ISNUMBER(E38)),IF(ABS(D38-E38)&lt;=F38,"PASS","FAIL"),"FAIL")</f>
        <v>PASS</v>
      </c>
    </row>
    <row r="39">
      <c r="A39" s="29">
        <f>35</f>
        <v>35</v>
      </c>
      <c r="B39" s="2" t="inlineStr">
        <is>
          <t>Anchor</t>
        </is>
      </c>
      <c r="C39" s="2" t="inlineStr">
        <is>
          <t>T1_FIN_CHANGE_2021</t>
        </is>
      </c>
      <c r="D39" s="3">
        <f>T1_FIN_CHANGE_2021</f>
        <v>13.0</v>
      </c>
      <c r="E39" s="3">
        <f>13</f>
        <v>13</v>
      </c>
      <c r="F39">
        <f>0</f>
        <v>0</v>
      </c>
      <c r="G39" t="str">
        <f>IF(AND(ISNUMBER(D39),ISNUMBER(E39)),IF(ABS(D39-E39)&lt;=F39,"PASS","FAIL"),"FAIL")</f>
        <v>PASS</v>
      </c>
    </row>
    <row r="40">
      <c r="A40" s="29">
        <f>36</f>
        <v>36</v>
      </c>
      <c r="B40" s="2" t="inlineStr">
        <is>
          <t>Anchor</t>
        </is>
      </c>
      <c r="C40" s="2" t="inlineStr">
        <is>
          <t>T1_OTHER_CHANGE_2021</t>
        </is>
      </c>
      <c r="D40" s="3">
        <f>T1_OTHER_CHANGE_2021</f>
        <v>32.0</v>
      </c>
      <c r="E40" s="3">
        <f>32</f>
        <v>32</v>
      </c>
      <c r="F40">
        <f>0</f>
        <v>0</v>
      </c>
      <c r="G40" t="str">
        <f>IF(AND(ISNUMBER(D40),ISNUMBER(E40)),IF(ABS(D40-E40)&lt;=F40,"PASS","FAIL"),"FAIL")</f>
        <v>PASS</v>
      </c>
    </row>
    <row r="41">
      <c r="A41" s="29">
        <f>37</f>
        <v>37</v>
      </c>
      <c r="B41" s="2" t="inlineStr">
        <is>
          <t>Anchor</t>
        </is>
      </c>
      <c r="C41" s="2" t="inlineStr">
        <is>
          <t>T1_FIN_CHANGE_2024</t>
        </is>
      </c>
      <c r="D41" s="3">
        <f>T1_FIN_CHANGE_2024</f>
        <v>15.0</v>
      </c>
      <c r="E41" s="3">
        <f>15</f>
        <v>15</v>
      </c>
      <c r="F41">
        <f>0</f>
        <v>0</v>
      </c>
      <c r="G41" t="str">
        <f>IF(AND(ISNUMBER(D41),ISNUMBER(E41)),IF(ABS(D41-E41)&lt;=F41,"PASS","FAIL"),"FAIL")</f>
        <v>PASS</v>
      </c>
    </row>
    <row r="42">
      <c r="A42" s="29">
        <f>38</f>
        <v>38</v>
      </c>
      <c r="B42" s="2" t="inlineStr">
        <is>
          <t>Anchor</t>
        </is>
      </c>
      <c r="C42" s="2" t="inlineStr">
        <is>
          <t>T1_OTHER_CHANGE_2024</t>
        </is>
      </c>
      <c r="D42" s="3">
        <f>T1_OTHER_CHANGE_2024</f>
        <v>-33.0</v>
      </c>
      <c r="E42" s="3">
        <f>-33</f>
        <v>-33.0</v>
      </c>
      <c r="F42">
        <f>0</f>
        <v>0</v>
      </c>
      <c r="G42" t="str">
        <f>IF(AND(ISNUMBER(D42),ISNUMBER(E42)),IF(ABS(D42-E42)&lt;=F42,"PASS","FAIL"),"FAIL")</f>
        <v>PASS</v>
      </c>
    </row>
    <row r="43">
      <c r="A43" s="29">
        <f>39</f>
        <v>39</v>
      </c>
      <c r="B43" s="2" t="inlineStr">
        <is>
          <t>Anchor</t>
        </is>
      </c>
      <c r="C43" s="2" t="inlineStr">
        <is>
          <t>RATE_GROWTH_2024_2026</t>
        </is>
      </c>
      <c r="D43" s="25">
        <f>RATE_GROWTH_2024_2026</f>
        <v>0.013840668562237424</v>
      </c>
      <c r="E43" s="25">
        <f>0.0138</f>
        <v>0.0138</v>
      </c>
      <c r="F43">
        <f>5e-05</f>
        <v>5e-05</v>
      </c>
      <c r="G43" t="str">
        <f>IF(AND(ISNUMBER(D43),ISNUMBER(E43)),IF(ABS(D43-E43)&lt;=F43,"PASS","FAIL"),"FAIL")</f>
        <v>PASS</v>
      </c>
    </row>
    <row r="44">
      <c r="A44" s="29">
        <f>40</f>
        <v>40</v>
      </c>
      <c r="B44" s="2" t="inlineStr">
        <is>
          <t>Anchor</t>
        </is>
      </c>
      <c r="C44" s="2" t="inlineStr">
        <is>
          <t>COST_FWD(2026)</t>
        </is>
      </c>
      <c r="D44" s="35">
        <f>INDEX(COST_FWD,3)</f>
        <v>506.080140363</v>
      </c>
      <c r="E44" s="35">
        <f>506.08</f>
        <v>506.08</v>
      </c>
      <c r="F44">
        <f>0.005</f>
        <v>0.005</v>
      </c>
      <c r="G44" t="str">
        <f>IF(AND(ISNUMBER(D44),ISNUMBER(E44)),IF(ABS(D44-E44)&lt;=F44,"PASS","FAIL"),"FAIL")</f>
        <v>PASS</v>
      </c>
    </row>
    <row r="45">
      <c r="A45" s="29">
        <f>41</f>
        <v>41</v>
      </c>
      <c r="B45" s="2" t="inlineStr">
        <is>
          <t>Anchor</t>
        </is>
      </c>
      <c r="C45" s="2" t="inlineStr">
        <is>
          <t>COST_FWD(2027)</t>
        </is>
      </c>
      <c r="D45" s="35">
        <f>INDEX(COST_FWD,4)</f>
        <v>522.780784994979</v>
      </c>
      <c r="E45" s="35">
        <f>522.78</f>
        <v>522.78</v>
      </c>
      <c r="F45">
        <f>0.005</f>
        <v>0.005</v>
      </c>
      <c r="G45" t="str">
        <f>IF(AND(ISNUMBER(D45),ISNUMBER(E45)),IF(ABS(D45-E45)&lt;=F45,"PASS","FAIL"),"FAIL")</f>
        <v>PASS</v>
      </c>
    </row>
    <row r="46">
      <c r="A46" s="29">
        <f>42</f>
        <v>42</v>
      </c>
      <c r="B46" s="2" t="inlineStr">
        <is>
          <t>Anchor</t>
        </is>
      </c>
      <c r="C46" s="2" t="inlineStr">
        <is>
          <t>COND_A_GAP(2026)</t>
        </is>
      </c>
      <c r="D46" s="25">
        <f>INDEX(COND_A_GAP,1)</f>
        <v>0.021380290392819967</v>
      </c>
      <c r="E46" s="25">
        <f>0.0214</f>
        <v>0.0214</v>
      </c>
      <c r="F46">
        <f>5e-05</f>
        <v>5e-05</v>
      </c>
      <c r="G46" t="str">
        <f>IF(AND(ISNUMBER(D46),ISNUMBER(E46)),IF(ABS(D46-E46)&lt;=F46,"PASS","FAIL"),"FAIL")</f>
        <v>PASS</v>
      </c>
    </row>
    <row r="47">
      <c r="A47" s="29">
        <f>43</f>
        <v>43</v>
      </c>
      <c r="B47" s="2" t="inlineStr">
        <is>
          <t>Anchor</t>
        </is>
      </c>
      <c r="C47" s="2" t="inlineStr">
        <is>
          <t>COND_A_GAP(2027)</t>
        </is>
      </c>
      <c r="D47" s="25">
        <f>INDEX(COND_A_GAP,2)</f>
        <v>0.039531015821562265</v>
      </c>
      <c r="E47" s="25">
        <f>0.0395</f>
        <v>0.0395</v>
      </c>
      <c r="F47">
        <f>5e-05</f>
        <v>5e-05</v>
      </c>
      <c r="G47" t="str">
        <f>IF(AND(ISNUMBER(D47),ISNUMBER(E47)),IF(ABS(D47-E47)&lt;=F47,"PASS","FAIL"),"FAIL")</f>
        <v>PASS</v>
      </c>
    </row>
    <row r="49">
      <c r="A49" s="4" t="inlineStr">
        <is>
          <t>Invariants (must pass for any inputs; part of ALL CHECKS)</t>
        </is>
      </c>
    </row>
    <row r="50">
      <c r="A50" s="5" t="inlineStr">
        <is>
          <t>#</t>
        </is>
      </c>
      <c r="B50" s="5" t="inlineStr">
        <is>
          <t>Group</t>
        </is>
      </c>
      <c r="C50" s="5" t="inlineStr">
        <is>
          <t>Check</t>
        </is>
      </c>
      <c r="D50" s="5" t="inlineStr">
        <is>
          <t>Computed</t>
        </is>
      </c>
      <c r="E50" s="5" t="inlineStr">
        <is>
          <t>Expected</t>
        </is>
      </c>
      <c r="F50" s="5" t="inlineStr">
        <is>
          <t>Tolerance</t>
        </is>
      </c>
      <c r="G50" s="5" t="inlineStr">
        <is>
          <t>Result</t>
        </is>
      </c>
    </row>
    <row r="51">
      <c r="A51" s="29">
        <f>1</f>
        <v>1</v>
      </c>
      <c r="B51" s="2" t="inlineStr">
        <is>
          <t>I1</t>
        </is>
      </c>
      <c r="C51" s="2" t="inlineStr">
        <is>
          <t>The seven SHARE_ values sum to 1, every year</t>
        </is>
      </c>
      <c r="D51" t="b">
        <f>AND(ABS(INDEX(SHARE_NO_BED,1)+INDEX(SHARE_BEHAVIOR,1)+INDEX(SHARE_SPECIAL_CARE,1)+INDEX(SHARE_FINANCIAL,1)+INDEX(SHARE_GUARDIANSHIP,1)+INDEX(SHARE_PASARR,1)+INDEX(SHARE_OTHER,1)-1)&lt;=1e-06,ABS(INDEX(SHARE_NO_BED,2)+INDEX(SHARE_BEHAVIOR,2)+INDEX(SHARE_SPECIAL_CARE,2)+INDEX(SHARE_FINANCIAL,2)+INDEX(SHARE_GUARDIANSHIP,2)+INDEX(SHARE_PASARR,2)+INDEX(SHARE_OTHER,2)-1)&lt;=1e-06,ABS(INDEX(SHARE_NO_BED,3)+INDEX(SHARE_BEHAVIOR,3)+INDEX(SHARE_SPECIAL_CARE,3)+INDEX(SHARE_FINANCIAL,3)+INDEX(SHARE_GUARDIANSHIP,3)+INDEX(SHARE_PASARR,3)+INDEX(SHARE_OTHER,3)-1)&lt;=1e-06,ABS(INDEX(SHARE_NO_BED,4)+INDEX(SHARE_BEHAVIOR,4)+INDEX(SHARE_SPECIAL_CARE,4)+INDEX(SHARE_FINANCIAL,4)+INDEX(SHARE_GUARDIANSHIP,4)+INDEX(SHARE_PASARR,4)+INDEX(SHARE_OTHER,4)-1)&lt;=1e-06,ABS(INDEX(SHARE_NO_BED,5)+INDEX(SHARE_BEHAVIOR,5)+INDEX(SHARE_SPECIAL_CARE,5)+INDEX(SHARE_FINANCIAL,5)+INDEX(SHARE_GUARDIANSHIP,5)+INDEX(SHARE_PASARR,5)+INDEX(SHARE_OTHER,5)-1)&lt;=1e-06,ABS(INDEX(SHARE_NO_BED,6)+INDEX(SHARE_BEHAVIOR,6)+INDEX(SHARE_SPECIAL_CARE,6)+INDEX(SHARE_FINANCIAL,6)+INDEX(SHARE_GUARDIANSHIP,6)+INDEX(SHARE_PASARR,6)+INDEX(SHARE_OTHER,6)-1)&lt;=1e-06,ABS(INDEX(SHARE_NO_BED,7)+INDEX(SHARE_BEHAVIOR,7)+INDEX(SHARE_SPECIAL_CARE,7)+INDEX(SHARE_FINANCIAL,7)+INDEX(SHARE_GUARDIANSHIP,7)+INDEX(SHARE_PASARR,7)+INDEX(SHARE_OTHER,7)-1)&lt;=1e-06,ABS(INDEX(SHARE_NO_BED,8)+INDEX(SHARE_BEHAVIOR,8)+INDEX(SHARE_SPECIAL_CARE,8)+INDEX(SHARE_FINANCIAL,8)+INDEX(SHARE_GUARDIANSHIP,8)+INDEX(SHARE_PASARR,8)+INDEX(SHARE_OTHER,8)-1)&lt;=1e-06)</f>
        <v>1</v>
      </c>
      <c r="E51" t="b">
        <f>TRUE</f>
        <v>1</v>
      </c>
      <c r="F51" t="str">
        <f>"exact"</f>
        <v>exact</v>
      </c>
      <c r="G51" t="str">
        <f>IF(D51=E51,"PASS","FAIL")</f>
        <v>PASS</v>
      </c>
    </row>
    <row r="52">
      <c r="A52" s="29">
        <f>2</f>
        <v>2</v>
      </c>
      <c r="B52" s="2" t="inlineStr">
        <is>
          <t>I2</t>
        </is>
      </c>
      <c r="C52" s="2" t="inlineStr">
        <is>
          <t>WITHIN_DAYS + EXCESS_DAYS = WL_DAYS, every year</t>
        </is>
      </c>
      <c r="D52" t="b">
        <f>AND(ABS(INDEX(WITHIN_DAYS,1)+INDEX(EXCESS_DAYS,1)-INDEX(WL_DAYS,1))&lt;=1e-06,ABS(INDEX(WITHIN_DAYS,2)+INDEX(EXCESS_DAYS,2)-INDEX(WL_DAYS,2))&lt;=1e-06,ABS(INDEX(WITHIN_DAYS,3)+INDEX(EXCESS_DAYS,3)-INDEX(WL_DAYS,3))&lt;=1e-06,ABS(INDEX(WITHIN_DAYS,4)+INDEX(EXCESS_DAYS,4)-INDEX(WL_DAYS,4))&lt;=1e-06,ABS(INDEX(WITHIN_DAYS,5)+INDEX(EXCESS_DAYS,5)-INDEX(WL_DAYS,5))&lt;=1e-06,ABS(INDEX(WITHIN_DAYS,6)+INDEX(EXCESS_DAYS,6)-INDEX(WL_DAYS,6))&lt;=1e-06,ABS(INDEX(WITHIN_DAYS,7)+INDEX(EXCESS_DAYS,7)-INDEX(WL_DAYS,7))&lt;=1e-06,ABS(INDEX(WITHIN_DAYS,8)+INDEX(EXCESS_DAYS,8)-INDEX(WL_DAYS,8))&lt;=1e-06)</f>
        <v>1</v>
      </c>
      <c r="E52" t="b">
        <f>TRUE</f>
        <v>1</v>
      </c>
      <c r="F52" t="str">
        <f>"exact"</f>
        <v>exact</v>
      </c>
      <c r="G52" t="str">
        <f>IF(D52=E52,"PASS","FAIL")</f>
        <v>PASS</v>
      </c>
    </row>
    <row r="53">
      <c r="A53" s="29">
        <f>3</f>
        <v>3</v>
      </c>
      <c r="B53" s="2" t="inlineStr">
        <is>
          <t>I3</t>
        </is>
      </c>
      <c r="C53" s="2" t="inlineStr">
        <is>
          <t>EXCESS_DAYS = MAX(0, GAP_PER_PT x WL_PATIENTS), every year (covers 2019 and 2022)</t>
        </is>
      </c>
      <c r="D53" t="b">
        <f>AND(ABS(INDEX(EXCESS_DAYS,1)-MAX(0,INDEX(GAP_PER_PT,1)*INDEX(WL_PATIENTS,1)))&lt;=1e-06,ABS(INDEX(EXCESS_DAYS,2)-MAX(0,INDEX(GAP_PER_PT,2)*INDEX(WL_PATIENTS,2)))&lt;=1e-06,ABS(INDEX(EXCESS_DAYS,3)-MAX(0,INDEX(GAP_PER_PT,3)*INDEX(WL_PATIENTS,3)))&lt;=1e-06,ABS(INDEX(EXCESS_DAYS,4)-MAX(0,INDEX(GAP_PER_PT,4)*INDEX(WL_PATIENTS,4)))&lt;=1e-06,ABS(INDEX(EXCESS_DAYS,5)-MAX(0,INDEX(GAP_PER_PT,5)*INDEX(WL_PATIENTS,5)))&lt;=1e-06,ABS(INDEX(EXCESS_DAYS,6)-MAX(0,INDEX(GAP_PER_PT,6)*INDEX(WL_PATIENTS,6)))&lt;=1e-06,ABS(INDEX(EXCESS_DAYS,7)-MAX(0,INDEX(GAP_PER_PT,7)*INDEX(WL_PATIENTS,7)))&lt;=1e-06,ABS(INDEX(EXCESS_DAYS,8)-MAX(0,INDEX(GAP_PER_PT,8)*INDEX(WL_PATIENTS,8)))&lt;=1e-06)</f>
        <v>1</v>
      </c>
      <c r="E53" t="b">
        <f>TRUE</f>
        <v>1</v>
      </c>
      <c r="F53" t="str">
        <f>"exact"</f>
        <v>exact</v>
      </c>
      <c r="G53" t="str">
        <f>IF(D53=E53,"PASS","FAIL")</f>
        <v>PASS</v>
      </c>
    </row>
    <row r="54">
      <c r="A54" s="29">
        <f>4</f>
        <v>4</v>
      </c>
      <c r="B54" s="2" t="inlineStr">
        <is>
          <t>I4</t>
        </is>
      </c>
      <c r="C54" s="2" t="inlineStr">
        <is>
          <t>County CTY_DAYS sum to WL_DAYS, 2023 and 2024</t>
        </is>
      </c>
      <c r="D54" t="b">
        <f>AND(ABS(INDEX(CTY_DAYS,1,1)+INDEX(CTY_DAYS,2,1)+INDEX(CTY_DAYS,3,1)+INDEX(CTY_DAYS,4,1)-INDEX(WL_DAYS,MATCH(2023,YEAR,0)))&lt;=1e-06,ABS(INDEX(CTY_DAYS,1,2)+INDEX(CTY_DAYS,2,2)+INDEX(CTY_DAYS,3,2)+INDEX(CTY_DAYS,4,2)-INDEX(WL_DAYS,MATCH(2024,YEAR,0)))&lt;=1e-06)</f>
        <v>1</v>
      </c>
      <c r="E54" t="b">
        <f>TRUE</f>
        <v>1</v>
      </c>
      <c r="F54" t="str">
        <f>"exact"</f>
        <v>exact</v>
      </c>
      <c r="G54" t="str">
        <f>IF(D54=E54,"PASS","FAIL")</f>
        <v>PASS</v>
      </c>
    </row>
    <row r="55">
      <c r="A55" s="29">
        <f>5</f>
        <v>5</v>
      </c>
      <c r="B55" s="2" t="inlineStr">
        <is>
          <t>I5</t>
        </is>
      </c>
      <c r="C55" s="2" t="inlineStr">
        <is>
          <t>County CTY_DAY_SHARE sum to 1, 2023 and 2024</t>
        </is>
      </c>
      <c r="D55" t="b">
        <f>AND(ABS(INDEX(CTY_DAY_SHARE,1,1)+INDEX(CTY_DAY_SHARE,2,1)+INDEX(CTY_DAY_SHARE,3,1)+INDEX(CTY_DAY_SHARE,4,1)-1)&lt;=1e-06,ABS(INDEX(CTY_DAY_SHARE,1,2)+INDEX(CTY_DAY_SHARE,2,2)+INDEX(CTY_DAY_SHARE,3,2)+INDEX(CTY_DAY_SHARE,4,2)-1)&lt;=1e-06)</f>
        <v>1</v>
      </c>
      <c r="E55" t="b">
        <f>TRUE</f>
        <v>1</v>
      </c>
      <c r="F55" t="str">
        <f>"exact"</f>
        <v>exact</v>
      </c>
      <c r="G55" t="str">
        <f>IF(D55=E55,"PASS","FAIL")</f>
        <v>PASS</v>
      </c>
    </row>
    <row r="56">
      <c r="A56" s="29">
        <f>6</f>
        <v>6</v>
      </c>
      <c r="B56" s="2" t="inlineStr">
        <is>
          <t>I6</t>
        </is>
      </c>
      <c r="C56" s="2" t="inlineStr">
        <is>
          <t>T2_SLOPE = least-squares slope written out by hand, 2017 to 2023</t>
        </is>
      </c>
      <c r="D56" s="24">
        <f>((INDEX(YEAR,1)-AVERAGE(INDEX(YEAR,1):INDEX(YEAR,7)))*(INDEX(DAYS_PER_PT,1)-AVERAGE(INDEX(DAYS_PER_PT,1):INDEX(DAYS_PER_PT,7)))+(INDEX(YEAR,2)-AVERAGE(INDEX(YEAR,1):INDEX(YEAR,7)))*(INDEX(DAYS_PER_PT,2)-AVERAGE(INDEX(DAYS_PER_PT,1):INDEX(DAYS_PER_PT,7)))+(INDEX(YEAR,3)-AVERAGE(INDEX(YEAR,1):INDEX(YEAR,7)))*(INDEX(DAYS_PER_PT,3)-AVERAGE(INDEX(DAYS_PER_PT,1):INDEX(DAYS_PER_PT,7)))+(INDEX(YEAR,4)-AVERAGE(INDEX(YEAR,1):INDEX(YEAR,7)))*(INDEX(DAYS_PER_PT,4)-AVERAGE(INDEX(DAYS_PER_PT,1):INDEX(DAYS_PER_PT,7)))+(INDEX(YEAR,5)-AVERAGE(INDEX(YEAR,1):INDEX(YEAR,7)))*(INDEX(DAYS_PER_PT,5)-AVERAGE(INDEX(DAYS_PER_PT,1):INDEX(DAYS_PER_PT,7)))+(INDEX(YEAR,6)-AVERAGE(INDEX(YEAR,1):INDEX(YEAR,7)))*(INDEX(DAYS_PER_PT,6)-AVERAGE(INDEX(DAYS_PER_PT,1):INDEX(DAYS_PER_PT,7)))+(INDEX(YEAR,7)-AVERAGE(INDEX(YEAR,1):INDEX(YEAR,7)))*(INDEX(DAYS_PER_PT,7)-AVERAGE(INDEX(DAYS_PER_PT,1):INDEX(DAYS_PER_PT,7))))/((INDEX(YEAR,1)-AVERAGE(INDEX(YEAR,1):INDEX(YEAR,7)))^2+(INDEX(YEAR,2)-AVERAGE(INDEX(YEAR,1):INDEX(YEAR,7)))^2+(INDEX(YEAR,3)-AVERAGE(INDEX(YEAR,1):INDEX(YEAR,7)))^2+(INDEX(YEAR,4)-AVERAGE(INDEX(YEAR,1):INDEX(YEAR,7)))^2+(INDEX(YEAR,5)-AVERAGE(INDEX(YEAR,1):INDEX(YEAR,7)))^2+(INDEX(YEAR,6)-AVERAGE(INDEX(YEAR,1):INDEX(YEAR,7)))^2+(INDEX(YEAR,7)-AVERAGE(INDEX(YEAR,1):INDEX(YEAR,7)))^2)</f>
        <v>1.8814212714379457</v>
      </c>
      <c r="E56" s="24">
        <f>T2_SLOPE</f>
        <v>1.8814212714379457</v>
      </c>
      <c r="F56">
        <f>1e-06</f>
        <v>1e-06</v>
      </c>
      <c r="G56" t="str">
        <f>IF(AND(ISNUMBER(D56),ISNUMBER(E56)),IF(ABS(D56-E56)&lt;=F56,"PASS","FAIL"),"FAIL")</f>
        <v>PASS</v>
      </c>
    </row>
    <row r="57">
      <c r="A57" s="29">
        <f>7</f>
        <v>7</v>
      </c>
      <c r="B57" s="2" t="inlineStr">
        <is>
          <t>I7</t>
        </is>
      </c>
      <c r="C57" s="2" t="inlineStr">
        <is>
          <t>T3_YEARS recomputed from the counts (no bed above each other reason)</t>
        </is>
      </c>
      <c r="D57" s="3">
        <f>IF(AND(INDEX(REASON_NO_BED,1)&gt;INDEX(REASON_BEHAVIOR,1),INDEX(REASON_NO_BED,1)&gt;INDEX(REASON_SPECIAL_CARE,1),INDEX(REASON_NO_BED,1)&gt;INDEX(REASON_FINANCIAL,1),INDEX(REASON_NO_BED,1)&gt;INDEX(REASON_GUARDIANSHIP,1),INDEX(REASON_NO_BED,1)&gt;INDEX(REASON_PASARR,1),INDEX(REASON_NO_BED,1)&gt;INDEX(REASON_OTHER,1)),1,0)+IF(AND(INDEX(REASON_NO_BED,2)&gt;INDEX(REASON_BEHAVIOR,2),INDEX(REASON_NO_BED,2)&gt;INDEX(REASON_SPECIAL_CARE,2),INDEX(REASON_NO_BED,2)&gt;INDEX(REASON_FINANCIAL,2),INDEX(REASON_NO_BED,2)&gt;INDEX(REASON_GUARDIANSHIP,2),INDEX(REASON_NO_BED,2)&gt;INDEX(REASON_PASARR,2),INDEX(REASON_NO_BED,2)&gt;INDEX(REASON_OTHER,2)),1,0)+IF(AND(INDEX(REASON_NO_BED,3)&gt;INDEX(REASON_BEHAVIOR,3),INDEX(REASON_NO_BED,3)&gt;INDEX(REASON_SPECIAL_CARE,3),INDEX(REASON_NO_BED,3)&gt;INDEX(REASON_FINANCIAL,3),INDEX(REASON_NO_BED,3)&gt;INDEX(REASON_GUARDIANSHIP,3),INDEX(REASON_NO_BED,3)&gt;INDEX(REASON_PASARR,3),INDEX(REASON_NO_BED,3)&gt;INDEX(REASON_OTHER,3)),1,0)+IF(AND(INDEX(REASON_NO_BED,4)&gt;INDEX(REASON_BEHAVIOR,4),INDEX(REASON_NO_BED,4)&gt;INDEX(REASON_SPECIAL_CARE,4),INDEX(REASON_NO_BED,4)&gt;INDEX(REASON_FINANCIAL,4),INDEX(REASON_NO_BED,4)&gt;INDEX(REASON_GUARDIANSHIP,4),INDEX(REASON_NO_BED,4)&gt;INDEX(REASON_PASARR,4),INDEX(REASON_NO_BED,4)&gt;INDEX(REASON_OTHER,4)),1,0)+IF(AND(INDEX(REASON_NO_BED,5)&gt;INDEX(REASON_BEHAVIOR,5),INDEX(REASON_NO_BED,5)&gt;INDEX(REASON_SPECIAL_CARE,5),INDEX(REASON_NO_BED,5)&gt;INDEX(REASON_FINANCIAL,5),INDEX(REASON_NO_BED,5)&gt;INDEX(REASON_GUARDIANSHIP,5),INDEX(REASON_NO_BED,5)&gt;INDEX(REASON_PASARR,5),INDEX(REASON_NO_BED,5)&gt;INDEX(REASON_OTHER,5)),1,0)+IF(AND(INDEX(REASON_NO_BED,6)&gt;INDEX(REASON_BEHAVIOR,6),INDEX(REASON_NO_BED,6)&gt;INDEX(REASON_SPECIAL_CARE,6),INDEX(REASON_NO_BED,6)&gt;INDEX(REASON_FINANCIAL,6),INDEX(REASON_NO_BED,6)&gt;INDEX(REASON_GUARDIANSHIP,6),INDEX(REASON_NO_BED,6)&gt;INDEX(REASON_PASARR,6),INDEX(REASON_NO_BED,6)&gt;INDEX(REASON_OTHER,6)),1,0)+IF(AND(INDEX(REASON_NO_BED,7)&gt;INDEX(REASON_BEHAVIOR,7),INDEX(REASON_NO_BED,7)&gt;INDEX(REASON_SPECIAL_CARE,7),INDEX(REASON_NO_BED,7)&gt;INDEX(REASON_FINANCIAL,7),INDEX(REASON_NO_BED,7)&gt;INDEX(REASON_GUARDIANSHIP,7),INDEX(REASON_NO_BED,7)&gt;INDEX(REASON_PASARR,7),INDEX(REASON_NO_BED,7)&gt;INDEX(REASON_OTHER,7)),1,0)+IF(AND(INDEX(REASON_NO_BED,8)&gt;INDEX(REASON_BEHAVIOR,8),INDEX(REASON_NO_BED,8)&gt;INDEX(REASON_SPECIAL_CARE,8),INDEX(REASON_NO_BED,8)&gt;INDEX(REASON_FINANCIAL,8),INDEX(REASON_NO_BED,8)&gt;INDEX(REASON_GUARDIANSHIP,8),INDEX(REASON_NO_BED,8)&gt;INDEX(REASON_PASARR,8),INDEX(REASON_NO_BED,8)&gt;INDEX(REASON_OTHER,8)),1,0)</f>
        <v>5.0</v>
      </c>
      <c r="E57" s="3">
        <f>T3_YEARS</f>
        <v>5</v>
      </c>
      <c r="F57">
        <f>0</f>
        <v>0</v>
      </c>
      <c r="G57" t="str">
        <f>IF(AND(ISNUMBER(D57),ISNUMBER(E57)),IF(ABS(D57-E57)&lt;=F57,"PASS","FAIL"),"FAIL")</f>
        <v>PASS</v>
      </c>
    </row>
    <row r="58">
      <c r="A58" s="29">
        <f>8</f>
        <v>8</v>
      </c>
      <c r="B58" s="2" t="inlineStr">
        <is>
          <t>I8</t>
        </is>
      </c>
      <c r="C58" s="2" t="inlineStr">
        <is>
          <t>MEETS_BENCH is TRUE exactly when GAP_PER_PT &lt;= 0, every year</t>
        </is>
      </c>
      <c r="D58" t="b">
        <f>AND(INDEX(MEETS_BENCH,1)=(INDEX(GAP_PER_PT,1)&lt;=0),INDEX(MEETS_BENCH,2)=(INDEX(GAP_PER_PT,2)&lt;=0),INDEX(MEETS_BENCH,3)=(INDEX(GAP_PER_PT,3)&lt;=0),INDEX(MEETS_BENCH,4)=(INDEX(GAP_PER_PT,4)&lt;=0),INDEX(MEETS_BENCH,5)=(INDEX(GAP_PER_PT,5)&lt;=0),INDEX(MEETS_BENCH,6)=(INDEX(GAP_PER_PT,6)&lt;=0),INDEX(MEETS_BENCH,7)=(INDEX(GAP_PER_PT,7)&lt;=0),INDEX(MEETS_BENCH,8)=(INDEX(GAP_PER_PT,8)&lt;=0))</f>
        <v>1</v>
      </c>
      <c r="E58" t="b">
        <f>TRUE</f>
        <v>1</v>
      </c>
      <c r="F58" t="str">
        <f>"exact"</f>
        <v>exact</v>
      </c>
      <c r="G58" t="str">
        <f>IF(D58=E58,"PASS","FAIL")</f>
        <v>PASS</v>
      </c>
    </row>
    <row r="59">
      <c r="A59" s="29">
        <f>9</f>
        <v>9</v>
      </c>
      <c r="B59" s="2" t="inlineStr">
        <is>
          <t>I9</t>
        </is>
      </c>
      <c r="C59" s="2" t="inlineStr">
        <is>
          <t>Every WorkedExample row reads "match"</t>
        </is>
      </c>
      <c r="D59" s="3">
        <f>COUNTIF(WorkedExample!E29:E57,"match")</f>
        <v>29</v>
      </c>
      <c r="E59" s="3">
        <f>ROWS(WorkedExample!E29:E57)</f>
        <v>29</v>
      </c>
      <c r="F59">
        <f>0</f>
        <v>0</v>
      </c>
      <c r="G59" t="str">
        <f>IF(AND(ISNUMBER(D59),ISNUMBER(E59)),IF(ABS(D59-E59)&lt;=F59,"PASS","FAIL"),"FAIL")</f>
        <v>PASS</v>
      </c>
    </row>
    <row r="61">
      <c r="A61" s="4" t="inlineStr">
        <is>
          <t>Error scans (count of error values in each sheet's used range; part of ALL CHECKS)</t>
        </is>
      </c>
    </row>
    <row r="62">
      <c r="A62" s="5" t="inlineStr">
        <is>
          <t>#</t>
        </is>
      </c>
      <c r="B62" s="5" t="inlineStr">
        <is>
          <t>Group</t>
        </is>
      </c>
      <c r="C62" s="5" t="inlineStr">
        <is>
          <t>Check</t>
        </is>
      </c>
      <c r="D62" s="5" t="inlineStr">
        <is>
          <t>Computed</t>
        </is>
      </c>
      <c r="E62" s="5" t="inlineStr">
        <is>
          <t>Expected</t>
        </is>
      </c>
      <c r="F62" s="5" t="inlineStr">
        <is>
          <t>Tolerance</t>
        </is>
      </c>
      <c r="G62" s="5" t="inlineStr">
        <is>
          <t>Result</t>
        </is>
      </c>
    </row>
    <row r="63">
      <c r="A63" s="29">
        <f>1</f>
        <v>1</v>
      </c>
      <c r="B63" s="2" t="inlineStr">
        <is>
          <t>Error scan</t>
        </is>
      </c>
      <c r="C63" s="2" t="inlineStr">
        <is>
          <t>No error values: Inputs (A1:S84)</t>
        </is>
      </c>
      <c r="D63" s="3">
        <f>SUMPRODUCT(--ISERROR(Inputs!A1:S84))</f>
        <v>0.0</v>
      </c>
      <c r="E63" s="3">
        <f>0</f>
        <v>0</v>
      </c>
      <c r="F63">
        <f>0</f>
        <v>0</v>
      </c>
      <c r="G63" t="str">
        <f>IF(AND(ISNUMBER(D63),ISNUMBER(E63)),IF(ABS(D63-E63)&lt;=F63,"PASS","FAIL"),"FAIL")</f>
        <v>PASS</v>
      </c>
    </row>
    <row r="64">
      <c r="A64" s="29">
        <f>2</f>
        <v>2</v>
      </c>
      <c r="B64" s="2" t="inlineStr">
        <is>
          <t>Error scan</t>
        </is>
      </c>
      <c r="C64" s="2" t="inlineStr">
        <is>
          <t>No error values: Waitlist (A1:V19)</t>
        </is>
      </c>
      <c r="D64" s="3">
        <f>SUMPRODUCT(--ISERROR(Waitlist!A1:V19))</f>
        <v>0.0</v>
      </c>
      <c r="E64" s="3">
        <f>0</f>
        <v>0</v>
      </c>
      <c r="F64">
        <f>0</f>
        <v>0</v>
      </c>
      <c r="G64" t="str">
        <f>IF(AND(ISNUMBER(D64),ISNUMBER(E64)),IF(ABS(D64-E64)&lt;=F64,"PASS","FAIL"),"FAIL")</f>
        <v>PASS</v>
      </c>
    </row>
    <row r="65">
      <c r="A65" s="29">
        <f>3</f>
        <v>3</v>
      </c>
      <c r="B65" s="2" t="inlineStr">
        <is>
          <t>Error scan</t>
        </is>
      </c>
      <c r="C65" s="2" t="inlineStr">
        <is>
          <t>No error values: Cost (A1:F21)</t>
        </is>
      </c>
      <c r="D65" s="3">
        <f>SUMPRODUCT(--ISERROR(Cost!A1:F21))</f>
        <v>0.0</v>
      </c>
      <c r="E65" s="3">
        <f>0</f>
        <v>0</v>
      </c>
      <c r="F65">
        <f>0</f>
        <v>0</v>
      </c>
      <c r="G65" t="str">
        <f>IF(AND(ISNUMBER(D65),ISNUMBER(E65)),IF(ABS(D65-E65)&lt;=F65,"PASS","FAIL"),"FAIL")</f>
        <v>PASS</v>
      </c>
    </row>
    <row r="66">
      <c r="A66" s="29">
        <f>4</f>
        <v>4</v>
      </c>
      <c r="B66" s="2" t="inlineStr">
        <is>
          <t>Error scan</t>
        </is>
      </c>
      <c r="C66" s="2" t="inlineStr">
        <is>
          <t>No error values: Tests (A1:F41)</t>
        </is>
      </c>
      <c r="D66" s="3">
        <f>SUMPRODUCT(--ISERROR(Tests!A1:F41))</f>
        <v>0.0</v>
      </c>
      <c r="E66" s="3">
        <f>0</f>
        <v>0</v>
      </c>
      <c r="F66">
        <f>0</f>
        <v>0</v>
      </c>
      <c r="G66" t="str">
        <f>IF(AND(ISNUMBER(D66),ISNUMBER(E66)),IF(ABS(D66-E66)&lt;=F66,"PASS","FAIL"),"FAIL")</f>
        <v>PASS</v>
      </c>
    </row>
    <row r="67">
      <c r="A67" s="29">
        <f>5</f>
        <v>5</v>
      </c>
      <c r="B67" s="2" t="inlineStr">
        <is>
          <t>Error scan</t>
        </is>
      </c>
      <c r="C67" s="2" t="inlineStr">
        <is>
          <t>No error values: County (A1:F12)</t>
        </is>
      </c>
      <c r="D67" s="3">
        <f>SUMPRODUCT(--ISERROR(County!A1:F12))</f>
        <v>0.0</v>
      </c>
      <c r="E67" s="3">
        <f>0</f>
        <v>0</v>
      </c>
      <c r="F67">
        <f>0</f>
        <v>0</v>
      </c>
      <c r="G67" t="str">
        <f>IF(AND(ISNUMBER(D67),ISNUMBER(E67)),IF(ABS(D67-E67)&lt;=F67,"PASS","FAIL"),"FAIL")</f>
        <v>PASS</v>
      </c>
    </row>
    <row r="68">
      <c r="A68" s="29">
        <f>6</f>
        <v>6</v>
      </c>
      <c r="B68" s="2" t="inlineStr">
        <is>
          <t>Error scan</t>
        </is>
      </c>
      <c r="C68" s="2" t="inlineStr">
        <is>
          <t>No error values: Capacity (A1:E22)</t>
        </is>
      </c>
      <c r="D68" s="3">
        <f>SUMPRODUCT(--ISERROR(Capacity!A1:E22))</f>
        <v>0.0</v>
      </c>
      <c r="E68" s="3">
        <f>0</f>
        <v>0</v>
      </c>
      <c r="F68">
        <f>0</f>
        <v>0</v>
      </c>
      <c r="G68" t="str">
        <f>IF(AND(ISNUMBER(D68),ISNUMBER(E68)),IF(ABS(D68-E68)&lt;=F68,"PASS","FAIL"),"FAIL")</f>
        <v>PASS</v>
      </c>
    </row>
    <row r="69">
      <c r="A69" s="29">
        <f>7</f>
        <v>7</v>
      </c>
      <c r="B69" s="2" t="inlineStr">
        <is>
          <t>Error scan</t>
        </is>
      </c>
      <c r="C69" s="2" t="inlineStr">
        <is>
          <t>No error values: Conditions (A1:F17)</t>
        </is>
      </c>
      <c r="D69" s="3">
        <f>SUMPRODUCT(--ISERROR(Conditions!A1:F17))</f>
        <v>0.0</v>
      </c>
      <c r="E69" s="3">
        <f>0</f>
        <v>0</v>
      </c>
      <c r="F69">
        <f>0</f>
        <v>0</v>
      </c>
      <c r="G69" t="str">
        <f>IF(AND(ISNUMBER(D69),ISNUMBER(E69)),IF(ABS(D69-E69)&lt;=F69,"PASS","FAIL"),"FAIL")</f>
        <v>PASS</v>
      </c>
    </row>
    <row r="70">
      <c r="A70" s="29">
        <f>8</f>
        <v>8</v>
      </c>
      <c r="B70" s="2" t="inlineStr">
        <is>
          <t>Error scan</t>
        </is>
      </c>
      <c r="C70" s="2" t="inlineStr">
        <is>
          <t>No error values: FigureData (A1:J88)</t>
        </is>
      </c>
      <c r="D70" s="3">
        <f>SUMPRODUCT(--ISERROR(FigureData!A1:J88))</f>
        <v>0.0</v>
      </c>
      <c r="E70" s="3">
        <f>0</f>
        <v>0</v>
      </c>
      <c r="F70">
        <f>0</f>
        <v>0</v>
      </c>
      <c r="G70" t="str">
        <f>IF(AND(ISNUMBER(D70),ISNUMBER(E70)),IF(ABS(D70-E70)&lt;=F70,"PASS","FAIL"),"FAIL")</f>
        <v>PASS</v>
      </c>
    </row>
    <row r="71">
      <c r="A71" s="29">
        <f>9</f>
        <v>9</v>
      </c>
      <c r="B71" s="2" t="inlineStr">
        <is>
          <t>Error scan</t>
        </is>
      </c>
      <c r="C71" s="2" t="inlineStr">
        <is>
          <t>No error values: WorkedExample (A1:G62)</t>
        </is>
      </c>
      <c r="D71" s="3">
        <f>SUMPRODUCT(--ISERROR(WorkedExample!A1:G62))</f>
        <v>0.0</v>
      </c>
      <c r="E71" s="3">
        <f>0</f>
        <v>0</v>
      </c>
      <c r="F71">
        <f>0</f>
        <v>0</v>
      </c>
      <c r="G71" t="str">
        <f>IF(AND(ISNUMBER(D71),ISNUMBER(E71)),IF(ABS(D71-E71)&lt;=F71,"PASS","FAIL"),"FAIL")</f>
        <v>PASS</v>
      </c>
    </row>
    <row r="72">
      <c r="A72" s="29">
        <f>10</f>
        <v>10</v>
      </c>
      <c r="B72" s="2" t="inlineStr">
        <is>
          <t>Error scan</t>
        </is>
      </c>
      <c r="C72" s="2" t="inlineStr">
        <is>
          <t>No error values: Checks (rows 1 to 71, above this row)</t>
        </is>
      </c>
      <c r="D72" s="3">
        <f>SUMPRODUCT(--ISERROR(A1:G71))</f>
        <v>0.0</v>
      </c>
      <c r="E72" s="3">
        <f>0</f>
        <v>0</v>
      </c>
      <c r="F72">
        <f>0</f>
        <v>0</v>
      </c>
      <c r="G72" t="str">
        <f>IF(AND(ISNUMBER(D72),ISNUMBER(E72)),IF(ABS(D72-E72)&lt;=F72,"PASS","FAIL"),"FAIL")</f>
        <v>PASS</v>
      </c>
    </row>
    <row r="74">
      <c r="C74" s="2" t="inlineStr">
        <is>
          <t>ALL CHECKS (invariants and error scans)</t>
        </is>
      </c>
      <c r="D74" s="4" t="str">
        <f>IF(AND(COUNTIF(G51:G59,"FAIL")+COUNTIF(G63:G72,"FAIL")=0,COUNTIF(G51:G59,"PASS")+COUNTIF(G63:G72,"PASS")=19),"ALL PASS","REVIEW")</f>
        <v>ALL PASS</v>
      </c>
    </row>
    <row r="75">
      <c r="C75" s="2" t="inlineStr">
        <is>
          <t>Anchors matching</t>
        </is>
      </c>
      <c r="D75" s="3">
        <f>COUNTIF(G5:G47,"PASS")</f>
        <v>43</v>
      </c>
      <c r="E75" t="str">
        <f>"of "&amp;ROWS(G5:G47)</f>
        <v>of 43</v>
      </c>
    </row>
    <row r="77">
      <c r="A77" s="15" t="inlineStr">
        <is>
          <t>Anchor tolerance = half a unit of the spec's shown precision; invariant tolerance 1e-6. Checked outside the workbook by script (spec Audit findings): every calculated cell is a formula; every spec name exists as an absolute defined name and no others; every input cell is yellow and no calculated cell 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2026-10-01T08:45:14Z</dcterms:created>
  <dcterms:modified xmlns:dcterms="http://purl.org/dc/terms/" xmlns:xsi="http://www.w3.org/2001/XMLSchema-instance" xsi:type="dcterms:W3CDTF">2026-10-01T08:45:14Z</dcterms:modified>
</cp:coreProperties>
</file>