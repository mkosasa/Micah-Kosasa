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FigureData" sheetId="6" state="visible" r:id="rId6"/>
    <sheet xmlns:r="http://schemas.openxmlformats.org/officeDocument/2006/relationships" name="Checks" sheetId="7" state="visible" r:id="rId7"/>
  </sheets>
  <definedNames>
    <definedName name="LTC_UNSTAFFED_STAFF_2024">'Inputs'!$B$5</definedName>
    <definedName name="BENCH_DAYS">'Inputs'!$B$6</definedName>
    <definedName name="KFF_COST_DAY">'Inputs'!$B$7</definedName>
    <definedName name="AVOID_COST_LO">'Inputs'!$B$8</definedName>
    <definedName name="AVOID_COST_HI">'Inputs'!$B$9</definedName>
    <definedName name="WL_RATE_2026">'Inputs'!$B$10</definedName>
    <definedName name="WL_RATE_LEAHI_2026">'Inputs'!$B$11</definedName>
    <definedName name="DATE_ADJ_2021">'Inputs'!$B$12</definedName>
    <definedName name="DATE_RESET_2024">'Inputs'!$B$13</definedName>
    <definedName name="T1_MIN_DROP_PTS">'Inputs'!$B$14</definedName>
    <definedName name="COVID_YEARS">'Inputs'!$B$15:$B$16</definedName>
    <definedName name="YEAR">'Inputs'!$A$21:$A$28</definedName>
    <definedName name="WL_PATIENTS">'Inputs'!$B$21:$B$28</definedName>
    <definedName name="WL_DAYS">'Inputs'!$C$21:$C$28</definedName>
    <definedName name="REASON_NO_BED">'Inputs'!$D$21:$D$28</definedName>
    <definedName name="REASON_BEHAVIOR">'Inputs'!$E$21:$E$28</definedName>
    <definedName name="REASON_SPECIAL_CARE">'Inputs'!$F$21:$F$28</definedName>
    <definedName name="REASON_FINANCIAL">'Inputs'!$G$21:$G$28</definedName>
    <definedName name="REASON_GUARDIANSHIP">'Inputs'!$H$21:$H$28</definedName>
    <definedName name="REASON_PASARR">'Inputs'!$I$21:$I$28</definedName>
    <definedName name="REASON_OTHER">'Inputs'!$J$21:$J$28</definedName>
    <definedName name="DEC31_TOTAL">'Inputs'!$K$21:$K$28</definedName>
    <definedName name="DEC31_NF">'Inputs'!$L$21:$L$28</definedName>
    <definedName name="LTC_UNSTAFFED">'Inputs'!$M$21:$M$28</definedName>
    <definedName name="WL_RATE_JAN">'Inputs'!$N$21:$N$28</definedName>
    <definedName name="WL_RATE_JUL">'Inputs'!$O$21:$O$28</definedName>
    <definedName name="COUNTY">'Inputs'!$A$33:$A$36</definedName>
    <definedName name="CTY_PATIENTS">'Inputs'!$B$33:$C$36</definedName>
    <definedName name="CTY_DAYS">'Inputs'!$D$33:$E$36</definedName>
    <definedName name="RATE_DATE">'Inputs'!$A$40:$A$56</definedName>
    <definedName name="NF_RATE_MEDIAN">'Inputs'!$C$40:$C$56</definedName>
    <definedName name="COST_FY">'Inputs'!$A$60:$A$72</definedName>
    <definedName name="NF_COST_ALL">'Inputs'!$B$60:$B$72</definedName>
    <definedName name="NF_COST_MCD_HEAVY">'Inputs'!$C$60:$C$72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WL_DAYS_CHANGE_2024">'Cost'!$C$14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CTY_DAYS_PER_PT">'County'!$B$4:$C$7</definedName>
    <definedName name="CTY_DAY_SHARE">'County'!$D$4:$E$7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"/>
    <numFmt numFmtId="165" formatCode="$#,##0.00"/>
    <numFmt numFmtId="166" formatCode="yyyy-mm-dd"/>
    <numFmt numFmtId="167" formatCode="yyyy-mm"/>
    <numFmt numFmtId="168" formatCode="0.0"/>
    <numFmt numFmtId="169" formatCode="0.0%"/>
    <numFmt numFmtId="170" formatCode="$#,##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3" fontId="0" fillId="4" borderId="0" pivotButton="0" quotePrefix="0" xfId="0"/>
    <xf numFmtId="0" fontId="0" fillId="0" borderId="0" applyAlignment="1" pivotButton="0" quotePrefix="0" xfId="0">
      <alignment/>
    </xf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0" fontId="0" fillId="4" borderId="0" pivotButton="0" quotePrefix="0" xfId="0"/>
    <xf numFmtId="168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0" fontId="2" fillId="3" borderId="0" applyAlignment="1" pivotButton="0" quotePrefix="0" xfId="0">
      <alignment vertical="top" wrapText="1"/>
    </xf>
    <xf numFmtId="165" fontId="0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16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4" customWidth="1" min="17" max="17"/>
  </cols>
  <sheetData>
    <row r="1">
      <c r="A1" s="1" t="inlineStr">
        <is>
          <t>Inputs: every manual input (yellow). Values are drafts until verified against the source.</t>
        </is>
      </c>
    </row>
    <row r="3">
      <c r="A3" s="2" t="inlineStr">
        <is>
          <t>Scalar inputs</t>
        </is>
      </c>
    </row>
    <row r="4">
      <c r="A4" s="3" t="inlineStr">
        <is>
          <t>Name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</row>
    <row r="5">
      <c r="A5" s="4" t="inlineStr">
        <is>
          <t>LTC_UNSTAFFED_STAFF_2024</t>
        </is>
      </c>
      <c r="B5" s="5" t="n">
        <v>353</v>
      </c>
      <c r="C5" s="6" t="inlineStr">
        <is>
          <t>beds, Dec 31, 2024</t>
        </is>
      </c>
      <c r="D5" t="inlineStr">
        <is>
          <t>SHPDA Table 16 (2024), reason text naming staffing (Okutsu Veterans Home's 21 "staff to census" excluded)</t>
        </is>
      </c>
    </row>
    <row r="6">
      <c r="A6" s="4" t="inlineStr">
        <is>
          <t>BENCH_DAYS</t>
        </is>
      </c>
      <c r="B6" s="5" t="n">
        <v>14</v>
      </c>
      <c r="C6" s="6" t="inlineStr">
        <is>
          <t>days per patient (average)</t>
        </is>
      </c>
      <c r="D6" t="inlineStr">
        <is>
          <t>My benchmark; reference: Scotland's 2-week maximum (NHS Borders, 2015)</t>
        </is>
      </c>
    </row>
    <row r="7">
      <c r="A7" s="4" t="inlineStr">
        <is>
          <t>KFF_COST_DAY</t>
        </is>
      </c>
      <c r="B7" s="7" t="n">
        <v>3664</v>
      </c>
      <c r="C7" s="6" t="inlineStr">
        <is>
          <t>USD per adjusted inpatient day, 2023</t>
        </is>
      </c>
      <c r="D7" t="inlineStr">
        <is>
          <t>KFF (AHA Annual Survey), Hawaii nonprofit hospitals ($3,663.56)</t>
        </is>
      </c>
    </row>
    <row r="8">
      <c r="A8" s="4" t="inlineStr">
        <is>
          <t>AVOID_COST_LO</t>
        </is>
      </c>
      <c r="B8" s="7" t="n">
        <v>550</v>
      </c>
      <c r="C8" s="6" t="inlineStr">
        <is>
          <t>USD per waitlisted day</t>
        </is>
      </c>
      <c r="D8" t="inlineStr">
        <is>
          <t>About 15% of KFF_COST_DAY, rounded (brief)</t>
        </is>
      </c>
    </row>
    <row r="9">
      <c r="A9" s="4" t="inlineStr">
        <is>
          <t>AVOID_COST_HI</t>
        </is>
      </c>
      <c r="B9" s="7" t="n">
        <v>1470</v>
      </c>
      <c r="C9" s="6" t="inlineStr">
        <is>
          <t>USD per waitlisted day</t>
        </is>
      </c>
      <c r="D9" t="inlineStr">
        <is>
          <t>About 40% of KFF_COST_DAY, rounded (brief; unrounded 1,466)</t>
        </is>
      </c>
    </row>
    <row r="10">
      <c r="A10" s="4" t="inlineStr">
        <is>
          <t>WL_RATE_2026</t>
        </is>
      </c>
      <c r="B10" s="8" t="n">
        <v>486.76</v>
      </c>
      <c r="C10" s="6" t="inlineStr">
        <is>
          <t>USD per waitlisted day</t>
        </is>
      </c>
      <c r="D10" t="inlineStr">
        <is>
          <t>Med-QUEST QI-2532 (Jan 2026), the current case</t>
        </is>
      </c>
    </row>
    <row r="11">
      <c r="A11" s="4" t="inlineStr">
        <is>
          <t>WL_RATE_LEAHI_2026</t>
        </is>
      </c>
      <c r="B11" s="8" t="n">
        <v>480.19</v>
      </c>
      <c r="C11" s="6" t="inlineStr">
        <is>
          <t>USD per waitlisted day</t>
        </is>
      </c>
      <c r="D11" t="inlineStr">
        <is>
          <t>QI-2532; reported as a note, not used in a calculation</t>
        </is>
      </c>
    </row>
    <row r="12">
      <c r="A12" s="4" t="inlineStr">
        <is>
          <t>DATE_ADJ_2021</t>
        </is>
      </c>
      <c r="B12" s="9" t="n">
        <v>44209</v>
      </c>
      <c r="C12" s="6" t="inlineStr">
        <is>
          <t>date</t>
        </is>
      </c>
      <c r="D12" t="inlineStr">
        <is>
          <t>SPA HI-23-0014: 12% adjustment for private homes (first seen in the July 2021 memo)</t>
        </is>
      </c>
    </row>
    <row r="13">
      <c r="A13" s="4" t="inlineStr">
        <is>
          <t>DATE_RESET_2024</t>
        </is>
      </c>
      <c r="B13" s="9" t="n">
        <v>45292</v>
      </c>
      <c r="C13" s="6" t="inlineStr">
        <is>
          <t>date</t>
        </is>
      </c>
      <c r="D13" t="inlineStr">
        <is>
          <t>SPA HI-23-0014; QI-2342</t>
        </is>
      </c>
    </row>
    <row r="14">
      <c r="A14" s="4" t="inlineStr">
        <is>
          <t>T1_MIN_DROP_PTS</t>
        </is>
      </c>
      <c r="B14" s="5" t="n">
        <v>5</v>
      </c>
      <c r="C14" s="6" t="inlineStr">
        <is>
          <t>percentage points</t>
        </is>
      </c>
      <c r="D14" t="inlineStr">
        <is>
          <t>Brief, test 1</t>
        </is>
      </c>
    </row>
    <row r="15">
      <c r="A15" s="4" t="inlineStr">
        <is>
          <t>COVID_YEARS</t>
        </is>
      </c>
      <c r="B15" s="10" t="n">
        <v>2020</v>
      </c>
      <c r="C15" s="6" t="inlineStr">
        <is>
          <t>years</t>
        </is>
      </c>
      <c r="D15" t="inlineStr">
        <is>
          <t>Brief</t>
        </is>
      </c>
    </row>
    <row r="16">
      <c r="A16" s="4" t="inlineStr">
        <is>
          <t>(COVID_YEARS, 2nd)</t>
        </is>
      </c>
      <c r="B16" s="10" t="n">
        <v>2021</v>
      </c>
      <c r="C16" s="6" t="n"/>
    </row>
    <row r="18">
      <c r="A18" s="2" t="inlineStr">
        <is>
          <t>Year table (SHPDA Table 18 statewide; Table 16 statewide; Med-QUEST waitlisted rates)</t>
        </is>
      </c>
    </row>
    <row r="19" ht="32" customHeight="1">
      <c r="A19" s="3" t="inlineStr">
        <is>
          <t>Year</t>
        </is>
      </c>
      <c r="B19" s="3" t="inlineStr">
        <is>
          <t>WL_PATIENTS</t>
        </is>
      </c>
      <c r="C19" s="3" t="inlineStr">
        <is>
          <t>WL_DAYS</t>
        </is>
      </c>
      <c r="D19" s="3" t="inlineStr">
        <is>
          <t>REASON_NO_BED</t>
        </is>
      </c>
      <c r="E19" s="3" t="inlineStr">
        <is>
          <t>REASON_BEHAVIOR</t>
        </is>
      </c>
      <c r="F19" s="3" t="inlineStr">
        <is>
          <t>REASON_SPECIAL_CARE</t>
        </is>
      </c>
      <c r="G19" s="3" t="inlineStr">
        <is>
          <t>REASON_FINANCIAL</t>
        </is>
      </c>
      <c r="H19" s="3" t="inlineStr">
        <is>
          <t>REASON_GUARDIANSHIP</t>
        </is>
      </c>
      <c r="I19" s="3" t="inlineStr">
        <is>
          <t>REASON_PASARR</t>
        </is>
      </c>
      <c r="J19" s="3" t="inlineStr">
        <is>
          <t>REASON_OTHER</t>
        </is>
      </c>
      <c r="K19" s="3" t="inlineStr">
        <is>
          <t>DEC31_TOTAL</t>
        </is>
      </c>
      <c r="L19" s="3" t="inlineStr">
        <is>
          <t>DEC31_NF</t>
        </is>
      </c>
      <c r="M19" s="3" t="inlineStr">
        <is>
          <t>LTC_UNSTAFFED</t>
        </is>
      </c>
      <c r="N19" s="3" t="inlineStr">
        <is>
          <t>WL_RATE_JAN</t>
        </is>
      </c>
      <c r="O19" s="3" t="inlineStr">
        <is>
          <t>WL_RATE_JUL</t>
        </is>
      </c>
    </row>
    <row r="20" ht="30" customHeight="1">
      <c r="A20" s="4" t="inlineStr">
        <is>
          <t>Source</t>
        </is>
      </c>
      <c r="B20" s="11" t="inlineStr">
        <is>
          <t>T18 total</t>
        </is>
      </c>
      <c r="C20" s="11" t="inlineStr">
        <is>
          <t>T18 total</t>
        </is>
      </c>
      <c r="D20" s="11" t="inlineStr">
        <is>
          <t>T18 reason F</t>
        </is>
      </c>
      <c r="E20" s="11" t="inlineStr">
        <is>
          <t>T18 reason G</t>
        </is>
      </c>
      <c r="F20" s="11" t="inlineStr">
        <is>
          <t>T18 reason H</t>
        </is>
      </c>
      <c r="G20" s="11" t="inlineStr">
        <is>
          <t>T18 reason I</t>
        </is>
      </c>
      <c r="H20" s="11" t="inlineStr">
        <is>
          <t>T18 reason J</t>
        </is>
      </c>
      <c r="I20" s="11" t="inlineStr">
        <is>
          <t>T18 reason K</t>
        </is>
      </c>
      <c r="J20" s="11" t="inlineStr">
        <is>
          <t>T18 reason L</t>
        </is>
      </c>
      <c r="K20" s="11" t="inlineStr">
        <is>
          <t>T18 by level of care</t>
        </is>
      </c>
      <c r="L20" s="11" t="inlineStr">
        <is>
          <t>T18 type A</t>
        </is>
      </c>
      <c r="M20" s="11" t="inlineStr">
        <is>
          <t>T16 statewide</t>
        </is>
      </c>
      <c r="N20" s="11" t="inlineStr">
        <is>
          <t>QI-2225, QI-2342</t>
        </is>
      </c>
      <c r="O20" s="11" t="inlineStr">
        <is>
          <t>QI-2326, QI-2413</t>
        </is>
      </c>
    </row>
    <row r="21">
      <c r="A21" s="12" t="n">
        <v>2017</v>
      </c>
      <c r="B21" s="5" t="n">
        <v>6187</v>
      </c>
      <c r="C21" s="5" t="n">
        <v>61470</v>
      </c>
      <c r="D21" s="5" t="n">
        <v>39</v>
      </c>
      <c r="E21" s="5" t="n">
        <v>16</v>
      </c>
      <c r="F21" s="5" t="n">
        <v>23</v>
      </c>
      <c r="G21" s="5" t="n">
        <v>18</v>
      </c>
      <c r="H21" s="5" t="n">
        <v>11</v>
      </c>
      <c r="I21" s="5" t="n">
        <v>2</v>
      </c>
      <c r="J21" s="5" t="n">
        <v>11</v>
      </c>
      <c r="K21" s="5" t="n">
        <v>157</v>
      </c>
      <c r="M21" s="5" t="n">
        <v>128</v>
      </c>
    </row>
    <row r="22">
      <c r="A22" s="12" t="n">
        <v>2018</v>
      </c>
      <c r="B22" s="5" t="n">
        <v>5294</v>
      </c>
      <c r="C22" s="5" t="n">
        <v>66091</v>
      </c>
      <c r="D22" s="5" t="n">
        <v>57</v>
      </c>
      <c r="E22" s="5" t="n">
        <v>29</v>
      </c>
      <c r="F22" s="5" t="n">
        <v>17</v>
      </c>
      <c r="G22" s="5" t="n">
        <v>31</v>
      </c>
      <c r="H22" s="5" t="n">
        <v>18</v>
      </c>
      <c r="I22" s="5" t="n">
        <v>2</v>
      </c>
      <c r="J22" s="5" t="n">
        <v>17</v>
      </c>
      <c r="K22" s="5" t="n">
        <v>171</v>
      </c>
      <c r="M22" s="5" t="n">
        <v>160</v>
      </c>
    </row>
    <row r="23">
      <c r="A23" s="12" t="n">
        <v>2019</v>
      </c>
      <c r="B23" s="5" t="n">
        <v>4790</v>
      </c>
      <c r="C23" s="5" t="n">
        <v>78911</v>
      </c>
      <c r="D23" s="5" t="n">
        <v>72</v>
      </c>
      <c r="E23" s="5" t="n">
        <v>27</v>
      </c>
      <c r="F23" s="5" t="n">
        <v>21</v>
      </c>
      <c r="G23" s="5" t="n">
        <v>32</v>
      </c>
      <c r="H23" s="5" t="n">
        <v>26</v>
      </c>
      <c r="I23" s="5" t="n">
        <v>0</v>
      </c>
      <c r="J23" s="5" t="n">
        <v>6</v>
      </c>
      <c r="K23" s="5" t="n">
        <v>184</v>
      </c>
      <c r="M23" s="5" t="n">
        <v>248</v>
      </c>
    </row>
    <row r="24">
      <c r="A24" s="12" t="n">
        <v>2020</v>
      </c>
      <c r="B24" s="5" t="n">
        <v>4553</v>
      </c>
      <c r="C24" s="5" t="n">
        <v>57297</v>
      </c>
      <c r="D24" s="5" t="n">
        <v>41</v>
      </c>
      <c r="E24" s="5" t="n">
        <v>24</v>
      </c>
      <c r="F24" s="5" t="n">
        <v>22</v>
      </c>
      <c r="G24" s="5" t="n">
        <v>30</v>
      </c>
      <c r="H24" s="5" t="n">
        <v>15</v>
      </c>
      <c r="I24" s="5" t="n">
        <v>0</v>
      </c>
      <c r="J24" s="5" t="n">
        <v>12</v>
      </c>
      <c r="K24" s="5" t="n">
        <v>144</v>
      </c>
      <c r="M24" s="5" t="n">
        <v>462</v>
      </c>
    </row>
    <row r="25">
      <c r="A25" s="12" t="n">
        <v>2021</v>
      </c>
      <c r="B25" s="5" t="n">
        <v>4927</v>
      </c>
      <c r="C25" s="5" t="n">
        <v>60050</v>
      </c>
      <c r="D25" s="5" t="n">
        <v>50</v>
      </c>
      <c r="E25" s="5" t="n">
        <v>36</v>
      </c>
      <c r="F25" s="5" t="n">
        <v>22</v>
      </c>
      <c r="G25" s="5" t="n">
        <v>43</v>
      </c>
      <c r="H25" s="5" t="n">
        <v>20</v>
      </c>
      <c r="I25" s="5" t="n">
        <v>0</v>
      </c>
      <c r="J25" s="5" t="n">
        <v>18</v>
      </c>
      <c r="K25" s="5" t="n">
        <v>189</v>
      </c>
      <c r="M25" s="5" t="n">
        <v>614</v>
      </c>
    </row>
    <row r="26">
      <c r="A26" s="12" t="n">
        <v>2022</v>
      </c>
      <c r="B26" s="5" t="n">
        <v>3681</v>
      </c>
      <c r="C26" s="5" t="n">
        <v>78561</v>
      </c>
      <c r="D26" s="5" t="n">
        <v>57</v>
      </c>
      <c r="E26" s="5" t="n">
        <v>35</v>
      </c>
      <c r="F26" s="5" t="n">
        <v>39</v>
      </c>
      <c r="G26" s="5" t="n">
        <v>75</v>
      </c>
      <c r="H26" s="5" t="n">
        <v>29</v>
      </c>
      <c r="I26" s="5" t="n">
        <v>5</v>
      </c>
      <c r="J26" s="5" t="n">
        <v>10</v>
      </c>
      <c r="K26" s="5" t="n">
        <v>250</v>
      </c>
      <c r="M26" s="5" t="n">
        <v>661</v>
      </c>
    </row>
    <row r="27">
      <c r="A27" s="12" t="n">
        <v>2023</v>
      </c>
      <c r="B27" s="5" t="n">
        <v>3610</v>
      </c>
      <c r="C27" s="5" t="n">
        <v>83097</v>
      </c>
      <c r="D27" s="5" t="n">
        <v>42</v>
      </c>
      <c r="E27" s="5" t="n">
        <v>48</v>
      </c>
      <c r="F27" s="5" t="n">
        <v>26</v>
      </c>
      <c r="G27" s="5" t="n">
        <v>45</v>
      </c>
      <c r="H27" s="5" t="n">
        <v>28</v>
      </c>
      <c r="I27" s="5" t="n">
        <v>1</v>
      </c>
      <c r="J27" s="5" t="n">
        <v>1</v>
      </c>
      <c r="K27" s="5" t="n">
        <v>191</v>
      </c>
      <c r="L27" s="5" t="n">
        <v>157</v>
      </c>
      <c r="M27" s="5" t="n">
        <v>510</v>
      </c>
      <c r="N27" s="8" t="n">
        <v>283.6</v>
      </c>
      <c r="O27" s="8" t="n">
        <v>302.89</v>
      </c>
    </row>
    <row r="28">
      <c r="A28" s="12" t="n">
        <v>2024</v>
      </c>
      <c r="B28" s="5" t="n">
        <v>3123</v>
      </c>
      <c r="C28" s="5" t="n">
        <v>60876</v>
      </c>
      <c r="D28" s="5" t="n">
        <v>31</v>
      </c>
      <c r="E28" s="5" t="n">
        <v>29</v>
      </c>
      <c r="F28" s="5" t="n">
        <v>18</v>
      </c>
      <c r="G28" s="5" t="n">
        <v>60</v>
      </c>
      <c r="H28" s="5" t="n">
        <v>31</v>
      </c>
      <c r="I28" s="5" t="n">
        <v>0</v>
      </c>
      <c r="J28" s="5" t="n">
        <v>4</v>
      </c>
      <c r="K28" s="5" t="n">
        <v>173</v>
      </c>
      <c r="L28" s="5" t="n">
        <v>120</v>
      </c>
      <c r="M28" s="5" t="n">
        <v>548</v>
      </c>
      <c r="N28" s="8" t="n">
        <v>464.97</v>
      </c>
      <c r="O28" s="8" t="n">
        <v>455.59</v>
      </c>
    </row>
    <row r="29">
      <c r="A29" s="13" t="inlineStr">
        <is>
          <t>Reason columns F to L; 2017 reasons sum to 120 against 157 by level of care (37 with no recorded reason). DEC31_NF and the waitlisted rates exist for 2023 and 2024 only (blank, not inputs, in other years).</t>
        </is>
      </c>
    </row>
    <row r="31">
      <c r="A31" s="2" t="inlineStr">
        <is>
          <t>County table (Table 18 hospital rows summed by county, shpda-table18-by-hospital-2023-2024.csv)</t>
        </is>
      </c>
    </row>
    <row r="32" ht="32" customHeight="1">
      <c r="A32" s="3" t="inlineStr">
        <is>
          <t>COUNTY</t>
        </is>
      </c>
      <c r="B32" s="3" t="inlineStr">
        <is>
          <t>CTY_PATIENTS 2023</t>
        </is>
      </c>
      <c r="C32" s="3" t="inlineStr">
        <is>
          <t>CTY_PATIENTS 2024</t>
        </is>
      </c>
      <c r="D32" s="3" t="inlineStr">
        <is>
          <t>CTY_DAYS 2023</t>
        </is>
      </c>
      <c r="E32" s="3" t="inlineStr">
        <is>
          <t>CTY_DAYS 2024</t>
        </is>
      </c>
    </row>
    <row r="33">
      <c r="A33" s="4" t="inlineStr">
        <is>
          <t>Hawaii</t>
        </is>
      </c>
      <c r="B33" s="5" t="n">
        <v>869</v>
      </c>
      <c r="C33" s="5" t="n">
        <v>727</v>
      </c>
      <c r="D33" s="5" t="n">
        <v>23212</v>
      </c>
      <c r="E33" s="5" t="n">
        <v>20174</v>
      </c>
    </row>
    <row r="34">
      <c r="A34" s="4" t="inlineStr">
        <is>
          <t>Honolulu</t>
        </is>
      </c>
      <c r="B34" s="5" t="n">
        <v>2255</v>
      </c>
      <c r="C34" s="5" t="n">
        <v>1979</v>
      </c>
      <c r="D34" s="5" t="n">
        <v>40327</v>
      </c>
      <c r="E34" s="5" t="n">
        <v>27380</v>
      </c>
    </row>
    <row r="35">
      <c r="A35" s="4" t="inlineStr">
        <is>
          <t>Kauai</t>
        </is>
      </c>
      <c r="B35" s="5" t="n">
        <v>86</v>
      </c>
      <c r="C35" s="5" t="n">
        <v>64</v>
      </c>
      <c r="D35" s="5" t="n">
        <v>1720</v>
      </c>
      <c r="E35" s="5" t="n">
        <v>1927</v>
      </c>
    </row>
    <row r="36">
      <c r="A36" s="4" t="inlineStr">
        <is>
          <t>Maui</t>
        </is>
      </c>
      <c r="B36" s="5" t="n">
        <v>400</v>
      </c>
      <c r="C36" s="5" t="n">
        <v>353</v>
      </c>
      <c r="D36" s="5" t="n">
        <v>17838</v>
      </c>
      <c r="E36" s="5" t="n">
        <v>11395</v>
      </c>
    </row>
    <row r="38">
      <c r="A38" s="2" t="inlineStr">
        <is>
          <t>Median nursing-facility rate by memo (Med-QUEST memos, hi-medicaid-rate-series-2016-2026.csv)</t>
        </is>
      </c>
    </row>
    <row r="39" ht="32" customHeight="1">
      <c r="A39" s="3" t="inlineStr">
        <is>
          <t>RATE_DATE (effective month)</t>
        </is>
      </c>
      <c r="B39" s="3" t="inlineStr">
        <is>
          <t>Memo</t>
        </is>
      </c>
      <c r="C39" s="3" t="inlineStr">
        <is>
          <t>NF_RATE_MEDIAN</t>
        </is>
      </c>
    </row>
    <row r="40">
      <c r="A40" s="14" t="n">
        <v>42370</v>
      </c>
      <c r="B40" s="4" t="inlineStr">
        <is>
          <t>QI-1521</t>
        </is>
      </c>
      <c r="C40" s="8" t="n">
        <v>246.97</v>
      </c>
    </row>
    <row r="41">
      <c r="A41" s="14" t="n">
        <v>42552</v>
      </c>
      <c r="B41" s="4" t="inlineStr">
        <is>
          <t>QI-1607</t>
        </is>
      </c>
      <c r="C41" s="8" t="n">
        <v>252.4</v>
      </c>
    </row>
    <row r="42">
      <c r="A42" s="14" t="n">
        <v>42736</v>
      </c>
      <c r="B42" s="4" t="inlineStr">
        <is>
          <t>QI-1622</t>
        </is>
      </c>
      <c r="C42" s="8" t="n">
        <v>251.93</v>
      </c>
    </row>
    <row r="43">
      <c r="A43" s="14" t="n">
        <v>42917</v>
      </c>
      <c r="B43" s="4" t="inlineStr">
        <is>
          <t>QI-1710</t>
        </is>
      </c>
      <c r="C43" s="8" t="n">
        <v>261.45</v>
      </c>
    </row>
    <row r="44">
      <c r="A44" s="14" t="n">
        <v>43282</v>
      </c>
      <c r="B44" s="4" t="inlineStr">
        <is>
          <t>QI-1809</t>
        </is>
      </c>
      <c r="C44" s="8" t="n">
        <v>270.66</v>
      </c>
    </row>
    <row r="45">
      <c r="A45" s="14" t="n">
        <v>43466</v>
      </c>
      <c r="B45" s="4" t="inlineStr">
        <is>
          <t>QI-1820</t>
        </is>
      </c>
      <c r="C45" s="8" t="n">
        <v>270.15</v>
      </c>
    </row>
    <row r="46">
      <c r="A46" s="14" t="n">
        <v>43647</v>
      </c>
      <c r="B46" s="4" t="inlineStr">
        <is>
          <t>QI-1911B</t>
        </is>
      </c>
      <c r="C46" s="15" t="n"/>
      <c r="D46" s="13" t="inlineStr">
        <is>
          <t>No median in this memo (left blank)</t>
        </is>
      </c>
    </row>
    <row r="47">
      <c r="A47" s="14" t="n">
        <v>44013</v>
      </c>
      <c r="B47" s="4" t="inlineStr">
        <is>
          <t>QI-2022</t>
        </is>
      </c>
      <c r="C47" s="8" t="n">
        <v>282.98</v>
      </c>
    </row>
    <row r="48">
      <c r="A48" s="14" t="n">
        <v>44378</v>
      </c>
      <c r="B48" s="4" t="inlineStr">
        <is>
          <t>QI-2113B</t>
        </is>
      </c>
      <c r="C48" s="8" t="n">
        <v>334.75</v>
      </c>
    </row>
    <row r="49">
      <c r="A49" s="14" t="n">
        <v>44562</v>
      </c>
      <c r="B49" s="4" t="inlineStr">
        <is>
          <t>QI-2166</t>
        </is>
      </c>
      <c r="C49" s="8" t="n">
        <v>332.59</v>
      </c>
    </row>
    <row r="50">
      <c r="A50" s="14" t="n">
        <v>44927</v>
      </c>
      <c r="B50" s="4" t="inlineStr">
        <is>
          <t>QI-2225</t>
        </is>
      </c>
      <c r="C50" s="8" t="n">
        <v>355.11</v>
      </c>
    </row>
    <row r="51">
      <c r="A51" s="14" t="n">
        <v>45108</v>
      </c>
      <c r="B51" s="4" t="inlineStr">
        <is>
          <t>QI-2326</t>
        </is>
      </c>
      <c r="C51" s="8" t="n">
        <v>371.99</v>
      </c>
    </row>
    <row r="52">
      <c r="A52" s="14" t="n">
        <v>45292</v>
      </c>
      <c r="B52" s="4" t="inlineStr">
        <is>
          <t>QI-2342</t>
        </is>
      </c>
      <c r="C52" s="8" t="n">
        <v>481.83</v>
      </c>
    </row>
    <row r="53">
      <c r="A53" s="14" t="n">
        <v>45474</v>
      </c>
      <c r="B53" s="4" t="inlineStr">
        <is>
          <t>QI-2413</t>
        </is>
      </c>
      <c r="C53" s="8" t="n">
        <v>482.2</v>
      </c>
    </row>
    <row r="54">
      <c r="A54" s="14" t="n">
        <v>45658</v>
      </c>
      <c r="B54" s="4" t="inlineStr">
        <is>
          <t>QI-2427</t>
        </is>
      </c>
      <c r="C54" s="8" t="n">
        <v>509.69</v>
      </c>
    </row>
    <row r="55">
      <c r="A55" s="14" t="n">
        <v>45839</v>
      </c>
      <c r="B55" s="4" t="inlineStr">
        <is>
          <t>QI-2515</t>
        </is>
      </c>
      <c r="C55" s="8" t="n">
        <v>506.65</v>
      </c>
    </row>
    <row r="56">
      <c r="A56" s="14" t="n">
        <v>46023</v>
      </c>
      <c r="B56" s="4" t="inlineStr">
        <is>
          <t>QI-2532</t>
        </is>
      </c>
      <c r="C56" s="8" t="n">
        <v>495.25</v>
      </c>
    </row>
    <row r="58">
      <c r="A58" s="2" t="inlineStr">
        <is>
          <t>Median nursing-home cost per patient day (CMS SNF cost reports, hi-snf-cost-per-day-series-2011-2023.csv)</t>
        </is>
      </c>
    </row>
    <row r="59" ht="32" customHeight="1">
      <c r="A59" s="3" t="inlineStr">
        <is>
          <t>COST_FY</t>
        </is>
      </c>
      <c r="B59" s="3" t="inlineStr">
        <is>
          <t>NF_COST_ALL</t>
        </is>
      </c>
      <c r="C59" s="3" t="inlineStr">
        <is>
          <t>NF_COST_MCD_HEAVY</t>
        </is>
      </c>
    </row>
    <row r="60">
      <c r="A60" s="12" t="n">
        <v>2011</v>
      </c>
      <c r="B60" s="8" t="n">
        <v>295.13</v>
      </c>
      <c r="C60" s="8" t="n">
        <v>287.76</v>
      </c>
    </row>
    <row r="61">
      <c r="A61" s="12" t="n">
        <v>2012</v>
      </c>
      <c r="B61" s="8" t="n">
        <v>314.68</v>
      </c>
      <c r="C61" s="8" t="n">
        <v>311.89</v>
      </c>
    </row>
    <row r="62">
      <c r="A62" s="12" t="n">
        <v>2013</v>
      </c>
      <c r="B62" s="8" t="n">
        <v>342.42</v>
      </c>
      <c r="C62" s="8" t="n">
        <v>322.2</v>
      </c>
    </row>
    <row r="63">
      <c r="A63" s="12" t="n">
        <v>2014</v>
      </c>
      <c r="B63" s="8" t="n">
        <v>344.18</v>
      </c>
      <c r="C63" s="8" t="n">
        <v>322.2</v>
      </c>
    </row>
    <row r="64">
      <c r="A64" s="12" t="n">
        <v>2015</v>
      </c>
      <c r="B64" s="8" t="n">
        <v>340.9</v>
      </c>
      <c r="C64" s="8" t="n">
        <v>322.11</v>
      </c>
    </row>
    <row r="65">
      <c r="A65" s="12" t="n">
        <v>2016</v>
      </c>
      <c r="B65" s="8" t="n">
        <v>358.8</v>
      </c>
      <c r="C65" s="8" t="n">
        <v>344.38</v>
      </c>
    </row>
    <row r="66">
      <c r="A66" s="12" t="n">
        <v>2017</v>
      </c>
      <c r="B66" s="8" t="n">
        <v>376.01</v>
      </c>
      <c r="C66" s="8" t="n">
        <v>356.1</v>
      </c>
    </row>
    <row r="67">
      <c r="A67" s="12" t="n">
        <v>2018</v>
      </c>
      <c r="B67" s="8" t="n">
        <v>380.99</v>
      </c>
      <c r="C67" s="8" t="n">
        <v>365.93</v>
      </c>
    </row>
    <row r="68">
      <c r="A68" s="12" t="n">
        <v>2019</v>
      </c>
      <c r="B68" s="8" t="n">
        <v>379.87</v>
      </c>
      <c r="C68" s="8" t="n">
        <v>373.25</v>
      </c>
    </row>
    <row r="69">
      <c r="A69" s="12" t="n">
        <v>2020</v>
      </c>
      <c r="B69" s="8" t="n">
        <v>428.4</v>
      </c>
      <c r="C69" s="8" t="n">
        <v>398.33</v>
      </c>
    </row>
    <row r="70">
      <c r="A70" s="12" t="n">
        <v>2021</v>
      </c>
      <c r="B70" s="8" t="n">
        <v>450.4</v>
      </c>
      <c r="C70" s="8" t="n">
        <v>423.44</v>
      </c>
    </row>
    <row r="71">
      <c r="A71" s="12" t="n">
        <v>2022</v>
      </c>
      <c r="B71" s="8" t="n">
        <v>459.47</v>
      </c>
      <c r="C71" s="8" t="n">
        <v>435.63</v>
      </c>
    </row>
    <row r="72">
      <c r="A72" s="12" t="n">
        <v>2023</v>
      </c>
      <c r="B72" s="8" t="n">
        <v>519.16</v>
      </c>
      <c r="C72" s="8" t="n">
        <v>461.78</v>
      </c>
    </row>
    <row r="73">
      <c r="A73" s="13" t="inlineStr">
        <is>
          <t>Medicaid-heavy = at least 50% Medicaid days, excluding complex-care Kulana Malama and Islands Skilled (research notes; rule to verify against the extract). All facilities = every Hawaii facility in the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>
      <c r="A3" s="3" t="inlineStr">
        <is>
          <t>Year</t>
        </is>
      </c>
      <c r="B3" s="3" t="inlineStr">
        <is>
          <t>Days per patient</t>
        </is>
      </c>
      <c r="C3" s="3" t="inlineStr">
        <is>
          <t>Benchmark days (patients x 14)</t>
        </is>
      </c>
      <c r="D3" s="3" t="inlineStr">
        <is>
          <t>Signed gap per patient (days)</t>
        </is>
      </c>
      <c r="E3" s="3" t="inlineStr">
        <is>
          <t>Waitlist days</t>
        </is>
      </c>
      <c r="F3" s="3" t="inlineStr">
        <is>
          <t>Excess days (floored at 0)</t>
        </is>
      </c>
      <c r="G3" s="3" t="inlineStr">
        <is>
          <t>Days within the benchmark</t>
        </is>
      </c>
      <c r="H3" s="3" t="inlineStr">
        <is>
          <t>Excess share of days</t>
        </is>
      </c>
      <c r="I3" s="3" t="inlineStr">
        <is>
          <t>Days in year</t>
        </is>
      </c>
      <c r="J3" s="3" t="inlineStr">
        <is>
          <t>Excess beds (average day)</t>
        </is>
      </c>
      <c r="K3" s="3" t="inlineStr">
        <is>
          <t>Meets benchmark</t>
        </is>
      </c>
      <c r="L3" s="3" t="inlineStr">
        <is>
          <t>Reasons total (F to L)</t>
        </is>
      </c>
      <c r="M3" s="3" t="inlineStr">
        <is>
          <t>Share: No bed</t>
        </is>
      </c>
      <c r="N3" s="3" t="inlineStr">
        <is>
          <t>Share: Behavior</t>
        </is>
      </c>
      <c r="O3" s="3" t="inlineStr">
        <is>
          <t>Share: Special care</t>
        </is>
      </c>
      <c r="P3" s="3" t="inlineStr">
        <is>
          <t>Share: Financial</t>
        </is>
      </c>
      <c r="Q3" s="3" t="inlineStr">
        <is>
          <t>Share: Guardianship</t>
        </is>
      </c>
      <c r="R3" s="3" t="inlineStr">
        <is>
          <t>Share: PASARR</t>
        </is>
      </c>
      <c r="S3" s="3" t="inlineStr">
        <is>
          <t>Share: Other</t>
        </is>
      </c>
      <c r="T3" s="3" t="inlineStr">
        <is>
          <t>Unstaffed LTC beds, Dec 31</t>
        </is>
      </c>
      <c r="U3" s="3" t="inlineStr">
        <is>
          <t>COVID flag</t>
        </is>
      </c>
    </row>
    <row r="4">
      <c r="A4" s="12">
        <f>INDEX(YEAR,1)</f>
        <v>2017</v>
      </c>
      <c r="B4" s="16">
        <f>INDEX(WL_DAYS,1)/INDEX(WL_PATIENTS,1)</f>
        <v>9.935348310974625</v>
      </c>
      <c r="C4" s="17">
        <f>INDEX(WL_PATIENTS,1)*BENCH_DAYS</f>
        <v>86618.0</v>
      </c>
      <c r="D4" s="18">
        <f>INDEX(DAYS_PER_PT,1)-BENCH_DAYS</f>
        <v>-4.064651689025375</v>
      </c>
      <c r="E4" s="17">
        <f>INDEX(WL_DAYS,1)</f>
        <v>61470</v>
      </c>
      <c r="F4" s="17">
        <f>MAX(0,INDEX(WL_DAYS,1)-INDEX(BENCH_TOTAL,1))</f>
        <v>0</v>
      </c>
      <c r="G4" s="17">
        <f>INDEX(WL_DAYS,1)-INDEX(EXCESS_DAYS,1)</f>
        <v>61470.0</v>
      </c>
      <c r="H4" s="19">
        <f>INDEX(EXCESS_DAYS,1)/INDEX(WL_DAYS,1)</f>
        <v>0.0</v>
      </c>
      <c r="I4" s="17">
        <f>DATE(INDEX(YEAR,1)+1,1,1)-DATE(INDEX(YEAR,1),1,1)</f>
        <v>365.0</v>
      </c>
      <c r="J4" s="16">
        <f>INDEX(EXCESS_DAYS,1)/INDEX(DAYS_IN_YEAR,1)</f>
        <v>0.0</v>
      </c>
      <c r="K4" t="b">
        <f>INDEX(DAYS_PER_PT,1)&lt;=BENCH_DAYS</f>
        <v>1</v>
      </c>
      <c r="L4" s="17">
        <f>INDEX(REASON_NO_BED,1)+INDEX(REASON_BEHAVIOR,1)+INDEX(REASON_SPECIAL_CARE,1)+INDEX(REASON_FINANCIAL,1)+INDEX(REASON_GUARDIANSHIP,1)+INDEX(REASON_PASARR,1)+INDEX(REASON_OTHER,1)</f>
        <v>120.0</v>
      </c>
      <c r="M4" s="19">
        <f>INDEX(REASON_NO_BED,1)/INDEX(REASON_SUM,1)</f>
        <v>0.325</v>
      </c>
      <c r="N4" s="19">
        <f>INDEX(REASON_BEHAVIOR,1)/INDEX(REASON_SUM,1)</f>
        <v>0.13333333333333333</v>
      </c>
      <c r="O4" s="19">
        <f>INDEX(REASON_SPECIAL_CARE,1)/INDEX(REASON_SUM,1)</f>
        <v>0.19166666666666668</v>
      </c>
      <c r="P4" s="19">
        <f>INDEX(REASON_FINANCIAL,1)/INDEX(REASON_SUM,1)</f>
        <v>0.15</v>
      </c>
      <c r="Q4" s="19">
        <f>INDEX(REASON_GUARDIANSHIP,1)/INDEX(REASON_SUM,1)</f>
        <v>0.09166666666666666</v>
      </c>
      <c r="R4" s="19">
        <f>INDEX(REASON_PASARR,1)/INDEX(REASON_SUM,1)</f>
        <v>0.016666666666666666</v>
      </c>
      <c r="S4" s="19">
        <f>INDEX(REASON_OTHER,1)/INDEX(REASON_SUM,1)</f>
        <v>0.09166666666666666</v>
      </c>
      <c r="T4" s="17">
        <f>INDEX(LTC_UNSTAFFED,1)</f>
        <v>128</v>
      </c>
      <c r="U4" t="b">
        <f>COUNTIF(COVID_YEARS,INDEX(YEAR,1))&gt;0</f>
        <v>0</v>
      </c>
    </row>
    <row r="5">
      <c r="A5" s="12">
        <f>INDEX(YEAR,2)</f>
        <v>2018</v>
      </c>
      <c r="B5" s="16">
        <f>INDEX(WL_DAYS,2)/INDEX(WL_PATIENTS,2)</f>
        <v>12.484132980732905</v>
      </c>
      <c r="C5" s="17">
        <f>INDEX(WL_PATIENTS,2)*BENCH_DAYS</f>
        <v>74116.0</v>
      </c>
      <c r="D5" s="18">
        <f>INDEX(DAYS_PER_PT,2)-BENCH_DAYS</f>
        <v>-1.5158670192670947</v>
      </c>
      <c r="E5" s="17">
        <f>INDEX(WL_DAYS,2)</f>
        <v>66091</v>
      </c>
      <c r="F5" s="17">
        <f>MAX(0,INDEX(WL_DAYS,2)-INDEX(BENCH_TOTAL,2))</f>
        <v>0</v>
      </c>
      <c r="G5" s="17">
        <f>INDEX(WL_DAYS,2)-INDEX(EXCESS_DAYS,2)</f>
        <v>66091.0</v>
      </c>
      <c r="H5" s="19">
        <f>INDEX(EXCESS_DAYS,2)/INDEX(WL_DAYS,2)</f>
        <v>0.0</v>
      </c>
      <c r="I5" s="17">
        <f>DATE(INDEX(YEAR,2)+1,1,1)-DATE(INDEX(YEAR,2),1,1)</f>
        <v>365.0</v>
      </c>
      <c r="J5" s="16">
        <f>INDEX(EXCESS_DAYS,2)/INDEX(DAYS_IN_YEAR,2)</f>
        <v>0.0</v>
      </c>
      <c r="K5" t="b">
        <f>INDEX(DAYS_PER_PT,2)&lt;=BENCH_DAYS</f>
        <v>1</v>
      </c>
      <c r="L5" s="17">
        <f>INDEX(REASON_NO_BED,2)+INDEX(REASON_BEHAVIOR,2)+INDEX(REASON_SPECIAL_CARE,2)+INDEX(REASON_FINANCIAL,2)+INDEX(REASON_GUARDIANSHIP,2)+INDEX(REASON_PASARR,2)+INDEX(REASON_OTHER,2)</f>
        <v>171.0</v>
      </c>
      <c r="M5" s="19">
        <f>INDEX(REASON_NO_BED,2)/INDEX(REASON_SUM,2)</f>
        <v>0.3333333333333333</v>
      </c>
      <c r="N5" s="19">
        <f>INDEX(REASON_BEHAVIOR,2)/INDEX(REASON_SUM,2)</f>
        <v>0.1695906432748538</v>
      </c>
      <c r="O5" s="19">
        <f>INDEX(REASON_SPECIAL_CARE,2)/INDEX(REASON_SUM,2)</f>
        <v>0.09941520467836257</v>
      </c>
      <c r="P5" s="19">
        <f>INDEX(REASON_FINANCIAL,2)/INDEX(REASON_SUM,2)</f>
        <v>0.18128654970760233</v>
      </c>
      <c r="Q5" s="19">
        <f>INDEX(REASON_GUARDIANSHIP,2)/INDEX(REASON_SUM,2)</f>
        <v>0.10526315789473684</v>
      </c>
      <c r="R5" s="19">
        <f>INDEX(REASON_PASARR,2)/INDEX(REASON_SUM,2)</f>
        <v>0.011695906432748537</v>
      </c>
      <c r="S5" s="19">
        <f>INDEX(REASON_OTHER,2)/INDEX(REASON_SUM,2)</f>
        <v>0.09941520467836257</v>
      </c>
      <c r="T5" s="17">
        <f>INDEX(LTC_UNSTAFFED,2)</f>
        <v>160</v>
      </c>
      <c r="U5" t="b">
        <f>COUNTIF(COVID_YEARS,INDEX(YEAR,2))&gt;0</f>
        <v>0</v>
      </c>
    </row>
    <row r="6">
      <c r="A6" s="12">
        <f>INDEX(YEAR,3)</f>
        <v>2019</v>
      </c>
      <c r="B6" s="16">
        <f>INDEX(WL_DAYS,3)/INDEX(WL_PATIENTS,3)</f>
        <v>16.4741127348643</v>
      </c>
      <c r="C6" s="17">
        <f>INDEX(WL_PATIENTS,3)*BENCH_DAYS</f>
        <v>67060.0</v>
      </c>
      <c r="D6" s="18">
        <f>INDEX(DAYS_PER_PT,3)-BENCH_DAYS</f>
        <v>2.474112734864299</v>
      </c>
      <c r="E6" s="17">
        <f>INDEX(WL_DAYS,3)</f>
        <v>78911</v>
      </c>
      <c r="F6" s="17">
        <f>MAX(0,INDEX(WL_DAYS,3)-INDEX(BENCH_TOTAL,3))</f>
        <v>11851.0</v>
      </c>
      <c r="G6" s="17">
        <f>INDEX(WL_DAYS,3)-INDEX(EXCESS_DAYS,3)</f>
        <v>67060.0</v>
      </c>
      <c r="H6" s="19">
        <f>INDEX(EXCESS_DAYS,3)/INDEX(WL_DAYS,3)</f>
        <v>0.1501818504391023</v>
      </c>
      <c r="I6" s="17">
        <f>DATE(INDEX(YEAR,3)+1,1,1)-DATE(INDEX(YEAR,3),1,1)</f>
        <v>365.0</v>
      </c>
      <c r="J6" s="16">
        <f>INDEX(EXCESS_DAYS,3)/INDEX(DAYS_IN_YEAR,3)</f>
        <v>32.46849315068493</v>
      </c>
      <c r="K6" t="b">
        <f>INDEX(DAYS_PER_PT,3)&lt;=BENCH_DAYS</f>
        <v>0</v>
      </c>
      <c r="L6" s="17">
        <f>INDEX(REASON_NO_BED,3)+INDEX(REASON_BEHAVIOR,3)+INDEX(REASON_SPECIAL_CARE,3)+INDEX(REASON_FINANCIAL,3)+INDEX(REASON_GUARDIANSHIP,3)+INDEX(REASON_PASARR,3)+INDEX(REASON_OTHER,3)</f>
        <v>184.0</v>
      </c>
      <c r="M6" s="19">
        <f>INDEX(REASON_NO_BED,3)/INDEX(REASON_SUM,3)</f>
        <v>0.391304347826087</v>
      </c>
      <c r="N6" s="19">
        <f>INDEX(REASON_BEHAVIOR,3)/INDEX(REASON_SUM,3)</f>
        <v>0.14673913043478262</v>
      </c>
      <c r="O6" s="19">
        <f>INDEX(REASON_SPECIAL_CARE,3)/INDEX(REASON_SUM,3)</f>
        <v>0.11413043478260869</v>
      </c>
      <c r="P6" s="19">
        <f>INDEX(REASON_FINANCIAL,3)/INDEX(REASON_SUM,3)</f>
        <v>0.17391304347826086</v>
      </c>
      <c r="Q6" s="19">
        <f>INDEX(REASON_GUARDIANSHIP,3)/INDEX(REASON_SUM,3)</f>
        <v>0.14130434782608695</v>
      </c>
      <c r="R6" s="19">
        <f>INDEX(REASON_PASARR,3)/INDEX(REASON_SUM,3)</f>
        <v>0.0</v>
      </c>
      <c r="S6" s="19">
        <f>INDEX(REASON_OTHER,3)/INDEX(REASON_SUM,3)</f>
        <v>0.03260869565217391</v>
      </c>
      <c r="T6" s="17">
        <f>INDEX(LTC_UNSTAFFED,3)</f>
        <v>248</v>
      </c>
      <c r="U6" t="b">
        <f>COUNTIF(COVID_YEARS,INDEX(YEAR,3))&gt;0</f>
        <v>0</v>
      </c>
    </row>
    <row r="7">
      <c r="A7" s="12">
        <f>INDEX(YEAR,4)</f>
        <v>2020</v>
      </c>
      <c r="B7" s="16">
        <f>INDEX(WL_DAYS,4)/INDEX(WL_PATIENTS,4)</f>
        <v>12.584449813309906</v>
      </c>
      <c r="C7" s="17">
        <f>INDEX(WL_PATIENTS,4)*BENCH_DAYS</f>
        <v>63742.0</v>
      </c>
      <c r="D7" s="18">
        <f>INDEX(DAYS_PER_PT,4)-BENCH_DAYS</f>
        <v>-1.4155501866900941</v>
      </c>
      <c r="E7" s="17">
        <f>INDEX(WL_DAYS,4)</f>
        <v>57297</v>
      </c>
      <c r="F7" s="17">
        <f>MAX(0,INDEX(WL_DAYS,4)-INDEX(BENCH_TOTAL,4))</f>
        <v>0</v>
      </c>
      <c r="G7" s="17">
        <f>INDEX(WL_DAYS,4)-INDEX(EXCESS_DAYS,4)</f>
        <v>57297.0</v>
      </c>
      <c r="H7" s="19">
        <f>INDEX(EXCESS_DAYS,4)/INDEX(WL_DAYS,4)</f>
        <v>0.0</v>
      </c>
      <c r="I7" s="17">
        <f>DATE(INDEX(YEAR,4)+1,1,1)-DATE(INDEX(YEAR,4),1,1)</f>
        <v>366.0</v>
      </c>
      <c r="J7" s="16">
        <f>INDEX(EXCESS_DAYS,4)/INDEX(DAYS_IN_YEAR,4)</f>
        <v>0.0</v>
      </c>
      <c r="K7" t="b">
        <f>INDEX(DAYS_PER_PT,4)&lt;=BENCH_DAYS</f>
        <v>1</v>
      </c>
      <c r="L7" s="17">
        <f>INDEX(REASON_NO_BED,4)+INDEX(REASON_BEHAVIOR,4)+INDEX(REASON_SPECIAL_CARE,4)+INDEX(REASON_FINANCIAL,4)+INDEX(REASON_GUARDIANSHIP,4)+INDEX(REASON_PASARR,4)+INDEX(REASON_OTHER,4)</f>
        <v>144.0</v>
      </c>
      <c r="M7" s="19">
        <f>INDEX(REASON_NO_BED,4)/INDEX(REASON_SUM,4)</f>
        <v>0.2847222222222222</v>
      </c>
      <c r="N7" s="19">
        <f>INDEX(REASON_BEHAVIOR,4)/INDEX(REASON_SUM,4)</f>
        <v>0.16666666666666666</v>
      </c>
      <c r="O7" s="19">
        <f>INDEX(REASON_SPECIAL_CARE,4)/INDEX(REASON_SUM,4)</f>
        <v>0.1527777777777778</v>
      </c>
      <c r="P7" s="19">
        <f>INDEX(REASON_FINANCIAL,4)/INDEX(REASON_SUM,4)</f>
        <v>0.20833333333333334</v>
      </c>
      <c r="Q7" s="19">
        <f>INDEX(REASON_GUARDIANSHIP,4)/INDEX(REASON_SUM,4)</f>
        <v>0.10416666666666667</v>
      </c>
      <c r="R7" s="19">
        <f>INDEX(REASON_PASARR,4)/INDEX(REASON_SUM,4)</f>
        <v>0.0</v>
      </c>
      <c r="S7" s="19">
        <f>INDEX(REASON_OTHER,4)/INDEX(REASON_SUM,4)</f>
        <v>0.08333333333333333</v>
      </c>
      <c r="T7" s="17">
        <f>INDEX(LTC_UNSTAFFED,4)</f>
        <v>462</v>
      </c>
      <c r="U7" t="b">
        <f>COUNTIF(COVID_YEARS,INDEX(YEAR,4))&gt;0</f>
        <v>1</v>
      </c>
    </row>
    <row r="8">
      <c r="A8" s="12">
        <f>INDEX(YEAR,5)</f>
        <v>2021</v>
      </c>
      <c r="B8" s="16">
        <f>INDEX(WL_DAYS,5)/INDEX(WL_PATIENTS,5)</f>
        <v>12.187943982139233</v>
      </c>
      <c r="C8" s="17">
        <f>INDEX(WL_PATIENTS,5)*BENCH_DAYS</f>
        <v>68978.0</v>
      </c>
      <c r="D8" s="18">
        <f>INDEX(DAYS_PER_PT,5)-BENCH_DAYS</f>
        <v>-1.8120560178607672</v>
      </c>
      <c r="E8" s="17">
        <f>INDEX(WL_DAYS,5)</f>
        <v>60050</v>
      </c>
      <c r="F8" s="17">
        <f>MAX(0,INDEX(WL_DAYS,5)-INDEX(BENCH_TOTAL,5))</f>
        <v>0</v>
      </c>
      <c r="G8" s="17">
        <f>INDEX(WL_DAYS,5)-INDEX(EXCESS_DAYS,5)</f>
        <v>60050.0</v>
      </c>
      <c r="H8" s="19">
        <f>INDEX(EXCESS_DAYS,5)/INDEX(WL_DAYS,5)</f>
        <v>0.0</v>
      </c>
      <c r="I8" s="17">
        <f>DATE(INDEX(YEAR,5)+1,1,1)-DATE(INDEX(YEAR,5),1,1)</f>
        <v>365.0</v>
      </c>
      <c r="J8" s="16">
        <f>INDEX(EXCESS_DAYS,5)/INDEX(DAYS_IN_YEAR,5)</f>
        <v>0.0</v>
      </c>
      <c r="K8" t="b">
        <f>INDEX(DAYS_PER_PT,5)&lt;=BENCH_DAYS</f>
        <v>1</v>
      </c>
      <c r="L8" s="17">
        <f>INDEX(REASON_NO_BED,5)+INDEX(REASON_BEHAVIOR,5)+INDEX(REASON_SPECIAL_CARE,5)+INDEX(REASON_FINANCIAL,5)+INDEX(REASON_GUARDIANSHIP,5)+INDEX(REASON_PASARR,5)+INDEX(REASON_OTHER,5)</f>
        <v>189.0</v>
      </c>
      <c r="M8" s="19">
        <f>INDEX(REASON_NO_BED,5)/INDEX(REASON_SUM,5)</f>
        <v>0.26455026455026454</v>
      </c>
      <c r="N8" s="19">
        <f>INDEX(REASON_BEHAVIOR,5)/INDEX(REASON_SUM,5)</f>
        <v>0.19047619047619047</v>
      </c>
      <c r="O8" s="19">
        <f>INDEX(REASON_SPECIAL_CARE,5)/INDEX(REASON_SUM,5)</f>
        <v>0.1164021164021164</v>
      </c>
      <c r="P8" s="19">
        <f>INDEX(REASON_FINANCIAL,5)/INDEX(REASON_SUM,5)</f>
        <v>0.2275132275132275</v>
      </c>
      <c r="Q8" s="19">
        <f>INDEX(REASON_GUARDIANSHIP,5)/INDEX(REASON_SUM,5)</f>
        <v>0.10582010582010581</v>
      </c>
      <c r="R8" s="19">
        <f>INDEX(REASON_PASARR,5)/INDEX(REASON_SUM,5)</f>
        <v>0.0</v>
      </c>
      <c r="S8" s="19">
        <f>INDEX(REASON_OTHER,5)/INDEX(REASON_SUM,5)</f>
        <v>0.09523809523809523</v>
      </c>
      <c r="T8" s="17">
        <f>INDEX(LTC_UNSTAFFED,5)</f>
        <v>614</v>
      </c>
      <c r="U8" t="b">
        <f>COUNTIF(COVID_YEARS,INDEX(YEAR,5))&gt;0</f>
        <v>1</v>
      </c>
    </row>
    <row r="9">
      <c r="A9" s="12">
        <f>INDEX(YEAR,6)</f>
        <v>2022</v>
      </c>
      <c r="B9" s="16">
        <f>INDEX(WL_DAYS,6)/INDEX(WL_PATIENTS,6)</f>
        <v>21.34229828850856</v>
      </c>
      <c r="C9" s="17">
        <f>INDEX(WL_PATIENTS,6)*BENCH_DAYS</f>
        <v>51534.0</v>
      </c>
      <c r="D9" s="18">
        <f>INDEX(DAYS_PER_PT,6)-BENCH_DAYS</f>
        <v>7.342298288508559</v>
      </c>
      <c r="E9" s="17">
        <f>INDEX(WL_DAYS,6)</f>
        <v>78561</v>
      </c>
      <c r="F9" s="17">
        <f>MAX(0,INDEX(WL_DAYS,6)-INDEX(BENCH_TOTAL,6))</f>
        <v>27027.0</v>
      </c>
      <c r="G9" s="17">
        <f>INDEX(WL_DAYS,6)-INDEX(EXCESS_DAYS,6)</f>
        <v>51534.0</v>
      </c>
      <c r="H9" s="19">
        <f>INDEX(EXCESS_DAYS,6)/INDEX(WL_DAYS,6)</f>
        <v>0.3440256615878107</v>
      </c>
      <c r="I9" s="17">
        <f>DATE(INDEX(YEAR,6)+1,1,1)-DATE(INDEX(YEAR,6),1,1)</f>
        <v>365.0</v>
      </c>
      <c r="J9" s="16">
        <f>INDEX(EXCESS_DAYS,6)/INDEX(DAYS_IN_YEAR,6)</f>
        <v>74.04657534246576</v>
      </c>
      <c r="K9" t="b">
        <f>INDEX(DAYS_PER_PT,6)&lt;=BENCH_DAYS</f>
        <v>0</v>
      </c>
      <c r="L9" s="17">
        <f>INDEX(REASON_NO_BED,6)+INDEX(REASON_BEHAVIOR,6)+INDEX(REASON_SPECIAL_CARE,6)+INDEX(REASON_FINANCIAL,6)+INDEX(REASON_GUARDIANSHIP,6)+INDEX(REASON_PASARR,6)+INDEX(REASON_OTHER,6)</f>
        <v>250.0</v>
      </c>
      <c r="M9" s="19">
        <f>INDEX(REASON_NO_BED,6)/INDEX(REASON_SUM,6)</f>
        <v>0.228</v>
      </c>
      <c r="N9" s="19">
        <f>INDEX(REASON_BEHAVIOR,6)/INDEX(REASON_SUM,6)</f>
        <v>0.14</v>
      </c>
      <c r="O9" s="19">
        <f>INDEX(REASON_SPECIAL_CARE,6)/INDEX(REASON_SUM,6)</f>
        <v>0.156</v>
      </c>
      <c r="P9" s="19">
        <f>INDEX(REASON_FINANCIAL,6)/INDEX(REASON_SUM,6)</f>
        <v>0.3</v>
      </c>
      <c r="Q9" s="19">
        <f>INDEX(REASON_GUARDIANSHIP,6)/INDEX(REASON_SUM,6)</f>
        <v>0.116</v>
      </c>
      <c r="R9" s="19">
        <f>INDEX(REASON_PASARR,6)/INDEX(REASON_SUM,6)</f>
        <v>0.02</v>
      </c>
      <c r="S9" s="19">
        <f>INDEX(REASON_OTHER,6)/INDEX(REASON_SUM,6)</f>
        <v>0.04</v>
      </c>
      <c r="T9" s="17">
        <f>INDEX(LTC_UNSTAFFED,6)</f>
        <v>661</v>
      </c>
      <c r="U9" t="b">
        <f>COUNTIF(COVID_YEARS,INDEX(YEAR,6))&gt;0</f>
        <v>0</v>
      </c>
    </row>
    <row r="10">
      <c r="A10" s="12">
        <f>INDEX(YEAR,7)</f>
        <v>2023</v>
      </c>
      <c r="B10" s="16">
        <f>INDEX(WL_DAYS,7)/INDEX(WL_PATIENTS,7)</f>
        <v>23.018559556786702</v>
      </c>
      <c r="C10" s="17">
        <f>INDEX(WL_PATIENTS,7)*BENCH_DAYS</f>
        <v>50540.0</v>
      </c>
      <c r="D10" s="18">
        <f>INDEX(DAYS_PER_PT,7)-BENCH_DAYS</f>
        <v>9.018559556786702</v>
      </c>
      <c r="E10" s="17">
        <f>INDEX(WL_DAYS,7)</f>
        <v>83097</v>
      </c>
      <c r="F10" s="17">
        <f>MAX(0,INDEX(WL_DAYS,7)-INDEX(BENCH_TOTAL,7))</f>
        <v>32557.0</v>
      </c>
      <c r="G10" s="17">
        <f>INDEX(WL_DAYS,7)-INDEX(EXCESS_DAYS,7)</f>
        <v>50540.0</v>
      </c>
      <c r="H10" s="19">
        <f>INDEX(EXCESS_DAYS,7)/INDEX(WL_DAYS,7)</f>
        <v>0.3917951309914919</v>
      </c>
      <c r="I10" s="17">
        <f>DATE(INDEX(YEAR,7)+1,1,1)-DATE(INDEX(YEAR,7),1,1)</f>
        <v>365.0</v>
      </c>
      <c r="J10" s="16">
        <f>INDEX(EXCESS_DAYS,7)/INDEX(DAYS_IN_YEAR,7)</f>
        <v>89.1972602739726</v>
      </c>
      <c r="K10" t="b">
        <f>INDEX(DAYS_PER_PT,7)&lt;=BENCH_DAYS</f>
        <v>0</v>
      </c>
      <c r="L10" s="17">
        <f>INDEX(REASON_NO_BED,7)+INDEX(REASON_BEHAVIOR,7)+INDEX(REASON_SPECIAL_CARE,7)+INDEX(REASON_FINANCIAL,7)+INDEX(REASON_GUARDIANSHIP,7)+INDEX(REASON_PASARR,7)+INDEX(REASON_OTHER,7)</f>
        <v>191.0</v>
      </c>
      <c r="M10" s="19">
        <f>INDEX(REASON_NO_BED,7)/INDEX(REASON_SUM,7)</f>
        <v>0.2198952879581152</v>
      </c>
      <c r="N10" s="19">
        <f>INDEX(REASON_BEHAVIOR,7)/INDEX(REASON_SUM,7)</f>
        <v>0.2513089005235602</v>
      </c>
      <c r="O10" s="19">
        <f>INDEX(REASON_SPECIAL_CARE,7)/INDEX(REASON_SUM,7)</f>
        <v>0.13612565445026178</v>
      </c>
      <c r="P10" s="19">
        <f>INDEX(REASON_FINANCIAL,7)/INDEX(REASON_SUM,7)</f>
        <v>0.2356020942408377</v>
      </c>
      <c r="Q10" s="19">
        <f>INDEX(REASON_GUARDIANSHIP,7)/INDEX(REASON_SUM,7)</f>
        <v>0.14659685863874344</v>
      </c>
      <c r="R10" s="19">
        <f>INDEX(REASON_PASARR,7)/INDEX(REASON_SUM,7)</f>
        <v>0.005235602094240838</v>
      </c>
      <c r="S10" s="19">
        <f>INDEX(REASON_OTHER,7)/INDEX(REASON_SUM,7)</f>
        <v>0.005235602094240838</v>
      </c>
      <c r="T10" s="17">
        <f>INDEX(LTC_UNSTAFFED,7)</f>
        <v>510</v>
      </c>
      <c r="U10" t="b">
        <f>COUNTIF(COVID_YEARS,INDEX(YEAR,7))&gt;0</f>
        <v>0</v>
      </c>
    </row>
    <row r="11">
      <c r="A11" s="12">
        <f>INDEX(YEAR,8)</f>
        <v>2024</v>
      </c>
      <c r="B11" s="16">
        <f>INDEX(WL_DAYS,8)/INDEX(WL_PATIENTS,8)</f>
        <v>19.492795389048993</v>
      </c>
      <c r="C11" s="17">
        <f>INDEX(WL_PATIENTS,8)*BENCH_DAYS</f>
        <v>43722.0</v>
      </c>
      <c r="D11" s="18">
        <f>INDEX(DAYS_PER_PT,8)-BENCH_DAYS</f>
        <v>5.492795389048993</v>
      </c>
      <c r="E11" s="17">
        <f>INDEX(WL_DAYS,8)</f>
        <v>60876</v>
      </c>
      <c r="F11" s="17">
        <f>MAX(0,INDEX(WL_DAYS,8)-INDEX(BENCH_TOTAL,8))</f>
        <v>17154.0</v>
      </c>
      <c r="G11" s="17">
        <f>INDEX(WL_DAYS,8)-INDEX(EXCESS_DAYS,8)</f>
        <v>43722.0</v>
      </c>
      <c r="H11" s="19">
        <f>INDEX(EXCESS_DAYS,8)/INDEX(WL_DAYS,8)</f>
        <v>0.281785925487877</v>
      </c>
      <c r="I11" s="17">
        <f>DATE(INDEX(YEAR,8)+1,1,1)-DATE(INDEX(YEAR,8),1,1)</f>
        <v>366.0</v>
      </c>
      <c r="J11" s="16">
        <f>INDEX(EXCESS_DAYS,8)/INDEX(DAYS_IN_YEAR,8)</f>
        <v>46.868852459016395</v>
      </c>
      <c r="K11" t="b">
        <f>INDEX(DAYS_PER_PT,8)&lt;=BENCH_DAYS</f>
        <v>0</v>
      </c>
      <c r="L11" s="17">
        <f>INDEX(REASON_NO_BED,8)+INDEX(REASON_BEHAVIOR,8)+INDEX(REASON_SPECIAL_CARE,8)+INDEX(REASON_FINANCIAL,8)+INDEX(REASON_GUARDIANSHIP,8)+INDEX(REASON_PASARR,8)+INDEX(REASON_OTHER,8)</f>
        <v>173.0</v>
      </c>
      <c r="M11" s="19">
        <f>INDEX(REASON_NO_BED,8)/INDEX(REASON_SUM,8)</f>
        <v>0.1791907514450867</v>
      </c>
      <c r="N11" s="19">
        <f>INDEX(REASON_BEHAVIOR,8)/INDEX(REASON_SUM,8)</f>
        <v>0.1676300578034682</v>
      </c>
      <c r="O11" s="19">
        <f>INDEX(REASON_SPECIAL_CARE,8)/INDEX(REASON_SUM,8)</f>
        <v>0.10404624277456648</v>
      </c>
      <c r="P11" s="19">
        <f>INDEX(REASON_FINANCIAL,8)/INDEX(REASON_SUM,8)</f>
        <v>0.3468208092485549</v>
      </c>
      <c r="Q11" s="19">
        <f>INDEX(REASON_GUARDIANSHIP,8)/INDEX(REASON_SUM,8)</f>
        <v>0.1791907514450867</v>
      </c>
      <c r="R11" s="19">
        <f>INDEX(REASON_PASARR,8)/INDEX(REASON_SUM,8)</f>
        <v>0.0</v>
      </c>
      <c r="S11" s="19">
        <f>INDEX(REASON_OTHER,8)/INDEX(REASON_SUM,8)</f>
        <v>0.023121387283236993</v>
      </c>
      <c r="T11" s="17">
        <f>INDEX(LTC_UNSTAFFED,8)</f>
        <v>548</v>
      </c>
      <c r="U11" t="b">
        <f>COUNTIF(COVID_YEARS,INDEX(YEAR,8))&gt;0</f>
        <v>0</v>
      </c>
    </row>
    <row r="13">
      <c r="A13" s="2" t="inlineStr">
        <is>
          <t>Flags and notes</t>
        </is>
      </c>
    </row>
    <row r="14">
      <c r="A14" s="4" t="inlineStr">
        <is>
          <t>FLAG_2017_INCOMPLETE</t>
        </is>
      </c>
      <c r="B14" t="b">
        <f>INDEX(REASON_SUM,1)&lt;INDEX(DEC31_TOTAL,1)</f>
        <v>1</v>
      </c>
      <c r="C14" s="13" t="inlineStr">
        <is>
          <t>2017 reasons recorded for 120 of 157 patients on Dec 31; its shares use the recorded reasons only.</t>
        </is>
      </c>
    </row>
    <row r="15">
      <c r="A15" s="4" t="inlineStr">
        <is>
          <t>Unstaffed LTC beds, 2024</t>
        </is>
      </c>
      <c r="B15" s="17">
        <f>INDEX(LTC_UNSTAFFED,8)</f>
        <v>548</v>
      </c>
      <c r="C15" s="13" t="inlineStr">
        <is>
          <t>Staffing note (reported only)</t>
        </is>
      </c>
    </row>
    <row r="16">
      <c r="A16" s="4" t="inlineStr">
        <is>
          <t>of which, for lack of staff</t>
        </is>
      </c>
      <c r="B16" s="17">
        <f>LTC_UNSTAFFED_STAFF_2024</f>
        <v>353</v>
      </c>
    </row>
    <row r="17">
      <c r="A17" s="13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6" customWidth="1" min="3" max="3"/>
    <col width="16" customWidth="1" min="4" max="4"/>
    <col width="24" customWidth="1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>
      <c r="A3" s="3" t="inlineStr">
        <is>
          <t>Measure</t>
        </is>
      </c>
      <c r="B3" s="3" t="inlineStr">
        <is>
          <t>Unit</t>
        </is>
      </c>
      <c r="C3" s="3" t="inlineStr">
        <is>
          <t>2023</t>
        </is>
      </c>
      <c r="D3" s="3" t="inlineStr">
        <is>
          <t>2024</t>
        </is>
      </c>
      <c r="E3" s="3" t="inlineStr">
        <is>
          <t>Now (2024 excess days at the Jan 2026 rate)</t>
        </is>
      </c>
    </row>
    <row r="4">
      <c r="A4" s="20" t="inlineStr">
        <is>
          <t>Excess days</t>
        </is>
      </c>
      <c r="B4" t="inlineStr">
        <is>
          <t>days</t>
        </is>
      </c>
      <c r="C4" s="17">
        <f>INDEX(EXCESS_DAYS,MATCH(2023,YEAR,0))</f>
        <v>32557.0</v>
      </c>
      <c r="D4" s="17">
        <f>INDEX(EXCESS_DAYS,MATCH(2024,YEAR,0))</f>
        <v>17154.0</v>
      </c>
      <c r="E4" s="17">
        <f>INDEX(EXCESS_DAYS,MATCH(2024,YEAR,0))</f>
        <v>17154.0</v>
      </c>
    </row>
    <row r="5">
      <c r="A5" s="20" t="inlineStr">
        <is>
          <t>Waitlisted rate, January</t>
        </is>
      </c>
      <c r="B5" t="inlineStr">
        <is>
          <t>USD per day</t>
        </is>
      </c>
      <c r="C5" s="21">
        <f>INDEX(WL_RATE_JAN,MATCH(2023,YEAR,0))</f>
        <v>283.6</v>
      </c>
      <c r="D5" s="21">
        <f>INDEX(WL_RATE_JAN,MATCH(2024,YEAR,0))</f>
        <v>464.97</v>
      </c>
    </row>
    <row r="6">
      <c r="A6" s="20" t="inlineStr">
        <is>
          <t>Waitlisted rate, July</t>
        </is>
      </c>
      <c r="B6" t="inlineStr">
        <is>
          <t>USD per day</t>
        </is>
      </c>
      <c r="C6" s="21">
        <f>INDEX(WL_RATE_JUL,MATCH(2023,YEAR,0))</f>
        <v>302.89</v>
      </c>
      <c r="D6" s="21">
        <f>INDEX(WL_RATE_JUL,MATCH(2024,YEAR,0))</f>
        <v>455.59</v>
      </c>
    </row>
    <row r="7">
      <c r="A7" s="20" t="inlineStr">
        <is>
          <t>Average waitlisted rate (WL_RATE_AVG); Now = WL_RATE_2026</t>
        </is>
      </c>
      <c r="B7" t="inlineStr">
        <is>
          <t>USD per day</t>
        </is>
      </c>
      <c r="C7" s="22">
        <f>(INDEX(WL_RATE_JAN,MATCH(2023,YEAR,0))+INDEX(WL_RATE_JUL,MATCH(2023,YEAR,0)))/2</f>
        <v>293.245</v>
      </c>
      <c r="D7" s="22">
        <f>(INDEX(WL_RATE_JAN,MATCH(2024,YEAR,0))+INDEX(WL_RATE_JUL,MATCH(2024,YEAR,0)))/2</f>
        <v>460.28</v>
      </c>
      <c r="E7" s="22">
        <f>WL_RATE_2026</f>
        <v>486.76</v>
      </c>
    </row>
    <row r="8">
      <c r="A8" s="20" t="inlineStr">
        <is>
          <t>Net cost per day, low (NET_COST_LO)</t>
        </is>
      </c>
      <c r="B8" t="inlineStr">
        <is>
          <t>USD per day</t>
        </is>
      </c>
      <c r="C8" s="21">
        <f>AVOID_COST_LO-INDEX(WL_RATE_AVG,1)</f>
        <v>256.755</v>
      </c>
      <c r="D8" s="21">
        <f>AVOID_COST_LO-INDEX(WL_RATE_AVG,2)</f>
        <v>89.72000000000003</v>
      </c>
      <c r="E8" s="21">
        <f>AVOID_COST_LO-WL_RATE_2026</f>
        <v>63.24000000000001</v>
      </c>
    </row>
    <row r="9">
      <c r="A9" s="20" t="inlineStr">
        <is>
          <t>Net cost per day, high (NET_COST_HI)</t>
        </is>
      </c>
      <c r="B9" t="inlineStr">
        <is>
          <t>USD per day</t>
        </is>
      </c>
      <c r="C9" s="21">
        <f>AVOID_COST_HI-INDEX(WL_RATE_AVG,1)</f>
        <v>1176.755</v>
      </c>
      <c r="D9" s="21">
        <f>AVOID_COST_HI-INDEX(WL_RATE_AVG,2)</f>
        <v>1009.72</v>
      </c>
      <c r="E9" s="21">
        <f>AVOID_COST_HI-WL_RATE_2026</f>
        <v>983.24</v>
      </c>
    </row>
    <row r="10">
      <c r="A10" s="20" t="inlineStr">
        <is>
          <t>Cost of excess days, low (EXCESS_COST_LO)</t>
        </is>
      </c>
      <c r="B10" t="inlineStr">
        <is>
          <t>USD per year</t>
        </is>
      </c>
      <c r="C10" s="23">
        <f>INDEX(EXCESS_DAYS,MATCH(2023,YEAR,0))*INDEX(NET_COST_LO,1)</f>
        <v>8359172.535</v>
      </c>
      <c r="D10" s="23">
        <f>INDEX(EXCESS_DAYS,MATCH(2024,YEAR,0))*INDEX(NET_COST_LO,2)</f>
        <v>1539056.8800000004</v>
      </c>
      <c r="E10" s="23">
        <f>INDEX(EXCESS_DAYS,MATCH(2024,YEAR,0))*NET_COST_LO_NOW</f>
        <v>1084818.9600000002</v>
      </c>
    </row>
    <row r="11">
      <c r="A11" s="20" t="inlineStr">
        <is>
          <t>Cost of excess days, high (EXCESS_COST_HI)</t>
        </is>
      </c>
      <c r="B11" t="inlineStr">
        <is>
          <t>USD per year</t>
        </is>
      </c>
      <c r="C11" s="23">
        <f>INDEX(EXCESS_DAYS,MATCH(2023,YEAR,0))*INDEX(NET_COST_HI,1)</f>
        <v>38311612.535000004</v>
      </c>
      <c r="D11" s="23">
        <f>INDEX(EXCESS_DAYS,MATCH(2024,YEAR,0))*INDEX(NET_COST_HI,2)</f>
        <v>17320736.88</v>
      </c>
      <c r="E11" s="23">
        <f>INDEX(EXCESS_DAYS,MATCH(2024,YEAR,0))*NET_COST_HI_NOW</f>
        <v>16866498.96</v>
      </c>
    </row>
    <row r="12">
      <c r="A12" s="20" t="inlineStr">
        <is>
          <t>Nursing-facility share of Dec 31 waitlist (NF_SHARE_DEC31), reported beside the result only</t>
        </is>
      </c>
      <c r="B12" t="inlineStr">
        <is>
          <t>share</t>
        </is>
      </c>
      <c r="C12" s="19">
        <f>INDEX(DEC31_NF,MATCH(2023,YEAR,0))/INDEX(DEC31_TOTAL,MATCH(2023,YEAR,0))</f>
        <v>0.8219895287958116</v>
      </c>
      <c r="D12" s="19">
        <f>INDEX(DEC31_NF,MATCH(2024,YEAR,0))/INDEX(DEC31_TOTAL,MATCH(2024,YEAR,0))</f>
        <v>0.6936416184971098</v>
      </c>
    </row>
    <row r="14">
      <c r="A14" s="20" t="inlineStr">
        <is>
          <t>Change in waitlist days, 2023 to 2024 (WL_DAYS_CHANGE_2024)</t>
        </is>
      </c>
      <c r="B14" t="inlineStr">
        <is>
          <t>share</t>
        </is>
      </c>
      <c r="C14" s="19">
        <f>INDEX(WL_DAYS,MATCH(2024,YEAR,0))/INDEX(WL_DAYS,MATCH(2023,YEAR,0))-1</f>
        <v>-0.26741037582584204</v>
      </c>
    </row>
    <row r="15">
      <c r="A15" s="4" t="inlineStr">
        <is>
          <t>Note: Leahi Hospital, Jan 2026 waitlisted rate</t>
        </is>
      </c>
      <c r="B15" t="inlineStr">
        <is>
          <t>USD per day</t>
        </is>
      </c>
      <c r="C15" s="21">
        <f>WL_RATE_LEAHI_2026</f>
        <v>480.19</v>
      </c>
      <c r="D15" s="13" t="inlineStr">
        <is>
          <t>Reported as a note; the other hospitals are at WL_RATE_2026. Not used in a calculation.</t>
        </is>
      </c>
    </row>
    <row r="17">
      <c r="A17" s="13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3" t="inlineStr">
        <is>
          <t>Test 1: opportunity cost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Financial share, Dec 31 2020</t>
        </is>
      </c>
      <c r="B4" s="24">
        <f>INDEX(SHARE_FINANCIAL,MATCH(2020,YEAR,0))</f>
        <v>0.20833333333333334</v>
      </c>
      <c r="C4" s="13" t="inlineStr">
        <is>
          <t>COVID year</t>
        </is>
      </c>
    </row>
    <row r="5">
      <c r="A5" s="4" t="inlineStr">
        <is>
          <t>Financial share, Dec 31 2021</t>
        </is>
      </c>
      <c r="B5" s="24">
        <f>INDEX(SHARE_FINANCIAL,MATCH(2021,YEAR,0))</f>
        <v>0.2275132275132275</v>
      </c>
      <c r="C5" s="13" t="inlineStr">
        <is>
          <t>COVID year</t>
        </is>
      </c>
    </row>
    <row r="6">
      <c r="A6" s="4" t="inlineStr">
        <is>
          <t>Drop, 2020 to 2021 (T1_DROP_2021; negative = rise)</t>
        </is>
      </c>
      <c r="B6" s="24">
        <f>INDEX(SHARE_FINANCIAL,MATCH(2020,YEAR,0))-INDEX(SHARE_FINANCIAL,MATCH(2021,YEAR,0))</f>
        <v>-0.019179894179894158</v>
      </c>
      <c r="C6" s="13" t="inlineStr">
        <is>
          <t>Shown as a percent of the reasons total, i.e. percentage points</t>
        </is>
      </c>
    </row>
    <row r="7">
      <c r="A7" s="4" t="inlineStr">
        <is>
          <t>Passes (drop &gt;= T1_MIN_DROP_PTS) (T1_PASS_2021)</t>
        </is>
      </c>
      <c r="B7" t="b">
        <f>T1_DROP_2021*100&gt;=T1_MIN_DROP_PTS</f>
        <v>0</v>
      </c>
      <c r="C7" s="13" t="inlineStr">
        <is>
          <t>Unrounded comparison; 2021 comparison is COVID-confounded</t>
        </is>
      </c>
    </row>
    <row r="8">
      <c r="A8" s="4" t="inlineStr">
        <is>
          <t>Financial share, Dec 31 2023</t>
        </is>
      </c>
      <c r="B8" s="24">
        <f>INDEX(SHARE_FINANCIAL,MATCH(2023,YEAR,0))</f>
        <v>0.2356020942408377</v>
      </c>
    </row>
    <row r="9">
      <c r="A9" s="4" t="inlineStr">
        <is>
          <t>Financial share, Dec 31 2024</t>
        </is>
      </c>
      <c r="B9" s="24">
        <f>INDEX(SHARE_FINANCIAL,MATCH(2024,YEAR,0))</f>
        <v>0.3468208092485549</v>
      </c>
    </row>
    <row r="10">
      <c r="A10" s="4" t="inlineStr">
        <is>
          <t>Drop, 2023 to 2024 (T1_DROP_2024; negative = rise)</t>
        </is>
      </c>
      <c r="B10" s="24">
        <f>INDEX(SHARE_FINANCIAL,MATCH(2023,YEAR,0))-INDEX(SHARE_FINANCIAL,MATCH(2024,YEAR,0))</f>
        <v>-0.11121871500771721</v>
      </c>
      <c r="C10" s="13" t="inlineStr">
        <is>
          <t>Shown as a percent of the reasons total, i.e. percentage points</t>
        </is>
      </c>
    </row>
    <row r="11">
      <c r="A11" s="4" t="inlineStr">
        <is>
          <t>Passes (drop &gt;= T1_MIN_DROP_PTS) (T1_PASS_2024)</t>
        </is>
      </c>
      <c r="B11" t="b">
        <f>T1_DROP_2024*100&gt;=T1_MIN_DROP_PTS</f>
        <v>0</v>
      </c>
      <c r="C11" s="13" t="inlineStr">
        <is>
          <t>Unrounded comparison</t>
        </is>
      </c>
    </row>
    <row r="12">
      <c r="A12" s="4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3" t="inlineStr">
        <is>
          <t>Fails only if both drops fall short (lenient reading)</t>
        </is>
      </c>
    </row>
    <row r="14">
      <c r="A14" s="3" t="inlineStr">
        <is>
          <t>Test 2: wait for the reset</t>
        </is>
      </c>
      <c r="B14" s="3" t="inlineStr">
        <is>
          <t>Value</t>
        </is>
      </c>
      <c r="C14" s="3" t="inlineStr">
        <is>
          <t>Note</t>
        </is>
      </c>
    </row>
    <row r="15">
      <c r="A15" s="4" t="inlineStr">
        <is>
          <t>Least-squares slope of days per patient, 2017 to 2023 (T2_SLOPE)</t>
        </is>
      </c>
      <c r="B15" s="18">
        <f>SLOPE(INDEX(DAYS_PER_PT,1):INDEX(DAYS_PER_PT,7),INDEX(YEAR,1):INDEX(YEAR,7))</f>
        <v>1.8814212714379457</v>
      </c>
      <c r="C15" s="13" t="inlineStr">
        <is>
          <t>days per patient per year</t>
        </is>
      </c>
    </row>
    <row r="16">
      <c r="A16" s="4" t="inlineStr">
        <is>
          <t>Verdict (T2_VERDICT)</t>
        </is>
      </c>
      <c r="B16" t="str">
        <f>IF(T2_SLOPE&lt;0,"Met","Not met")</f>
        <v>Not met</v>
      </c>
      <c r="C16" s="13" t="inlineStr">
        <is>
          <t>Met = the trend slopes down (falling steadily toward 14)</t>
        </is>
      </c>
    </row>
    <row r="18" ht="45" customHeight="1">
      <c r="A18" s="3" t="inlineStr">
        <is>
          <t>Test 3: new capacity</t>
        </is>
      </c>
      <c r="B18" s="3" t="inlineStr">
        <is>
          <t>Largest reason (LARGEST_REASON)</t>
        </is>
      </c>
      <c r="C18" s="3" t="inlineStr">
        <is>
          <t>Top count</t>
        </is>
      </c>
      <c r="D18" s="3" t="inlineStr">
        <is>
          <t>Reasons at the top count</t>
        </is>
      </c>
      <c r="E18" s="3" t="inlineStr">
        <is>
          <t>Recorded reasons incomplete</t>
        </is>
      </c>
    </row>
    <row r="19">
      <c r="A19" s="12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17">
        <f>MAX(INDEX(REASON_NO_BED,1),INDEX(REASON_BEHAVIOR,1),INDEX(REASON_SPECIAL_CARE,1),INDEX(REASON_FINANCIAL,1),INDEX(REASON_GUARDIANSHIP,1),INDEX(REASON_PASARR,1),INDEX(REASON_OTHER,1))</f>
        <v>39</v>
      </c>
      <c r="D19" s="17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2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17">
        <f>MAX(INDEX(REASON_NO_BED,2),INDEX(REASON_BEHAVIOR,2),INDEX(REASON_SPECIAL_CARE,2),INDEX(REASON_FINANCIAL,2),INDEX(REASON_GUARDIANSHIP,2),INDEX(REASON_PASARR,2),INDEX(REASON_OTHER,2))</f>
        <v>57</v>
      </c>
      <c r="D20" s="17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2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17">
        <f>MAX(INDEX(REASON_NO_BED,3),INDEX(REASON_BEHAVIOR,3),INDEX(REASON_SPECIAL_CARE,3),INDEX(REASON_FINANCIAL,3),INDEX(REASON_GUARDIANSHIP,3),INDEX(REASON_PASARR,3),INDEX(REASON_OTHER,3))</f>
        <v>72</v>
      </c>
      <c r="D21" s="17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2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17">
        <f>MAX(INDEX(REASON_NO_BED,4),INDEX(REASON_BEHAVIOR,4),INDEX(REASON_SPECIAL_CARE,4),INDEX(REASON_FINANCIAL,4),INDEX(REASON_GUARDIANSHIP,4),INDEX(REASON_PASARR,4),INDEX(REASON_OTHER,4))</f>
        <v>41</v>
      </c>
      <c r="D22" s="17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2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17">
        <f>MAX(INDEX(REASON_NO_BED,5),INDEX(REASON_BEHAVIOR,5),INDEX(REASON_SPECIAL_CARE,5),INDEX(REASON_FINANCIAL,5),INDEX(REASON_GUARDIANSHIP,5),INDEX(REASON_PASARR,5),INDEX(REASON_OTHER,5))</f>
        <v>50</v>
      </c>
      <c r="D23" s="17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2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17">
        <f>MAX(INDEX(REASON_NO_BED,6),INDEX(REASON_BEHAVIOR,6),INDEX(REASON_SPECIAL_CARE,6),INDEX(REASON_FINANCIAL,6),INDEX(REASON_GUARDIANSHIP,6),INDEX(REASON_PASARR,6),INDEX(REASON_OTHER,6))</f>
        <v>75</v>
      </c>
      <c r="D24" s="17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2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17">
        <f>MAX(INDEX(REASON_NO_BED,7),INDEX(REASON_BEHAVIOR,7),INDEX(REASON_SPECIAL_CARE,7),INDEX(REASON_FINANCIAL,7),INDEX(REASON_GUARDIANSHIP,7),INDEX(REASON_PASARR,7),INDEX(REASON_OTHER,7))</f>
        <v>48</v>
      </c>
      <c r="D25" s="17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2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17">
        <f>MAX(INDEX(REASON_NO_BED,8),INDEX(REASON_BEHAVIOR,8),INDEX(REASON_SPECIAL_CARE,8),INDEX(REASON_FINANCIAL,8),INDEX(REASON_GUARDIANSHIP,8),INDEX(REASON_PASARR,8),INDEX(REASON_OTHER,8))</f>
        <v>60</v>
      </c>
      <c r="D26" s="17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4" t="inlineStr">
        <is>
          <t>Years no bed is largest (T3_YEARS)</t>
        </is>
      </c>
      <c r="B27" s="17">
        <f>COUNTIF(LARGEST_REASON,"No bed")</f>
        <v>5</v>
      </c>
      <c r="C27" s="13" t="inlineStr">
        <is>
          <t>of 8 years, 2017 to 2024</t>
        </is>
      </c>
    </row>
    <row r="28">
      <c r="A28" s="4" t="inlineStr">
        <is>
          <t>Verdict (T3_VERDICT)</t>
        </is>
      </c>
      <c r="B28" t="str">
        <f>IF(T3_YEARS&gt;8/2,"Met","Not met")</f>
        <v>Met</v>
      </c>
      <c r="C28" s="13" t="inlineStr">
        <is>
          <t>Met = more than half of 8 years (5 or more); a tie counts as not largest</t>
        </is>
      </c>
    </row>
    <row r="29">
      <c r="A29" s="4" t="inlineStr">
        <is>
          <t>2017 flag (FLAG_2017_INCOMPLETE)</t>
        </is>
      </c>
      <c r="B29" t="b">
        <f>FLAG_2017_INCOMPLETE</f>
        <v>1</v>
      </c>
      <c r="C29" s="13" t="inlineStr">
        <is>
          <t>2017 is counted on its recorded reasons (120 of 157) and flagged</t>
        </is>
      </c>
    </row>
    <row r="31">
      <c r="A31" s="13" t="inlineStr">
        <is>
          <t>The model reports each test's verdict. It does not rank or cost the options and does not choose between the add-on and the top-up.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>
      <c r="A3" s="3" t="inlineStr">
        <is>
          <t>County</t>
        </is>
      </c>
      <c r="B3" s="3" t="inlineStr">
        <is>
          <t>Days per patient 2023</t>
        </is>
      </c>
      <c r="C3" s="3" t="inlineStr">
        <is>
          <t>Days per patient 2024</t>
        </is>
      </c>
      <c r="D3" s="3" t="inlineStr">
        <is>
          <t>Share of days 2023</t>
        </is>
      </c>
      <c r="E3" s="3" t="inlineStr">
        <is>
          <t>Share of days 2024</t>
        </is>
      </c>
    </row>
    <row r="4">
      <c r="A4" s="4" t="str">
        <f>INDEX(COUNTY,1)</f>
        <v>Hawaii</v>
      </c>
      <c r="B4" s="16">
        <f>INDEX(CTY_DAYS,1,1)/INDEX(CTY_PATIENTS,1,1)</f>
        <v>26.711162255466053</v>
      </c>
      <c r="C4" s="16">
        <f>INDEX(CTY_DAYS,1,2)/INDEX(CTY_PATIENTS,1,2)</f>
        <v>27.74965612104539</v>
      </c>
      <c r="D4" s="19">
        <f>INDEX(CTY_DAYS,1,1)/INDEX(WL_DAYS,MATCH(2023,YEAR,0))</f>
        <v>0.27933619745598515</v>
      </c>
      <c r="E4" s="19">
        <f>INDEX(CTY_DAYS,1,2)/INDEX(WL_DAYS,MATCH(2024,YEAR,0))</f>
        <v>0.33139496681779357</v>
      </c>
    </row>
    <row r="5">
      <c r="A5" s="4" t="str">
        <f>INDEX(COUNTY,2)</f>
        <v>Honolulu</v>
      </c>
      <c r="B5" s="16">
        <f>INDEX(CTY_DAYS,2,1)/INDEX(CTY_PATIENTS,2,1)</f>
        <v>17.883370288248337</v>
      </c>
      <c r="C5" s="16">
        <f>INDEX(CTY_DAYS,2,2)/INDEX(CTY_PATIENTS,2,2)</f>
        <v>13.835270338554826</v>
      </c>
      <c r="D5" s="19">
        <f>INDEX(CTY_DAYS,2,1)/INDEX(WL_DAYS,MATCH(2023,YEAR,0))</f>
        <v>0.4853003116839356</v>
      </c>
      <c r="E5" s="19">
        <f>INDEX(CTY_DAYS,2,2)/INDEX(WL_DAYS,MATCH(2024,YEAR,0))</f>
        <v>0.4497667389447401</v>
      </c>
    </row>
    <row r="6">
      <c r="A6" s="4" t="str">
        <f>INDEX(COUNTY,3)</f>
        <v>Kauai</v>
      </c>
      <c r="B6" s="16">
        <f>INDEX(CTY_DAYS,3,1)/INDEX(CTY_PATIENTS,3,1)</f>
        <v>20.0</v>
      </c>
      <c r="C6" s="16">
        <f>INDEX(CTY_DAYS,3,2)/INDEX(CTY_PATIENTS,3,2)</f>
        <v>30.109375</v>
      </c>
      <c r="D6" s="19">
        <f>INDEX(CTY_DAYS,3,1)/INDEX(WL_DAYS,MATCH(2023,YEAR,0))</f>
        <v>0.02069870151750364</v>
      </c>
      <c r="E6" s="19">
        <f>INDEX(CTY_DAYS,3,2)/INDEX(WL_DAYS,MATCH(2024,YEAR,0))</f>
        <v>0.031654510808857346</v>
      </c>
    </row>
    <row r="7">
      <c r="A7" s="4" t="str">
        <f>INDEX(COUNTY,4)</f>
        <v>Maui</v>
      </c>
      <c r="B7" s="16">
        <f>INDEX(CTY_DAYS,4,1)/INDEX(CTY_PATIENTS,4,1)</f>
        <v>44.595</v>
      </c>
      <c r="C7" s="16">
        <f>INDEX(CTY_DAYS,4,2)/INDEX(CTY_PATIENTS,4,2)</f>
        <v>32.28045325779037</v>
      </c>
      <c r="D7" s="19">
        <f>INDEX(CTY_DAYS,4,1)/INDEX(WL_DAYS,MATCH(2023,YEAR,0))</f>
        <v>0.21466478934257555</v>
      </c>
      <c r="E7" s="19">
        <f>INDEX(CTY_DAYS,4,2)/INDEX(WL_DAYS,MATCH(2024,YEAR,0))</f>
        <v>0.18718378342860897</v>
      </c>
    </row>
    <row r="8">
      <c r="A8" s="4" t="inlineStr">
        <is>
          <t>Total share</t>
        </is>
      </c>
      <c r="D8" s="19">
        <f>INDEX(CTY_DAY_SHARE,1,1)+INDEX(CTY_DAY_SHARE,2,1)+INDEX(CTY_DAY_SHARE,3,1)+INDEX(CTY_DAY_SHARE,4,1)</f>
        <v>1.0</v>
      </c>
      <c r="E8" s="19">
        <f>INDEX(CTY_DAY_SHARE,1,2)+INDEX(CTY_DAY_SHARE,2,2)+INDEX(CTY_DAY_SHARE,3,2)+INDEX(CTY_DAY_SHARE,4,2)</f>
        <v>1.0</v>
      </c>
    </row>
    <row r="10">
      <c r="A10" s="13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5" customWidth="1" min="5" max="5"/>
    <col width="15" customWidth="1" min="6" max="6"/>
    <col width="15" customWidth="1" min="7" max="7"/>
    <col width="15" customWidth="1" min="8" max="8"/>
    <col width="30" customWidth="1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2" t="inlineStr">
        <is>
          <t>Figure a: days per patient against the 14-day benchmark</t>
        </is>
      </c>
    </row>
    <row r="4" ht="32" customHeight="1">
      <c r="A4" s="3" t="inlineStr">
        <is>
          <t>Year</t>
        </is>
      </c>
      <c r="B4" s="3" t="inlineStr">
        <is>
          <t>Plot date (July 1)</t>
        </is>
      </c>
      <c r="C4" s="3" t="inlineStr">
        <is>
          <t>Days per patient</t>
        </is>
      </c>
      <c r="D4" s="3" t="inlineStr">
        <is>
          <t>Benchmark (days)</t>
        </is>
      </c>
      <c r="E4" s="3" t="inlineStr">
        <is>
          <t>COVID year</t>
        </is>
      </c>
    </row>
    <row r="5">
      <c r="A5" s="12">
        <f>INDEX(YEAR,1)</f>
        <v>2017</v>
      </c>
      <c r="B5" s="25">
        <f>DATE(INDEX(YEAR,1),7,1)</f>
        <v>42917</v>
      </c>
      <c r="C5" s="18">
        <f>INDEX(DAYS_PER_PT,1)</f>
        <v>9.935348310974625</v>
      </c>
      <c r="D5" s="17">
        <f>BENCH_DAYS</f>
        <v>14</v>
      </c>
      <c r="E5" t="b">
        <f>INDEX(COVID_FLAG,1)</f>
        <v>0</v>
      </c>
    </row>
    <row r="6">
      <c r="A6" s="12">
        <f>INDEX(YEAR,2)</f>
        <v>2018</v>
      </c>
      <c r="B6" s="25">
        <f>DATE(INDEX(YEAR,2),7,1)</f>
        <v>43282</v>
      </c>
      <c r="C6" s="18">
        <f>INDEX(DAYS_PER_PT,2)</f>
        <v>12.484132980732905</v>
      </c>
      <c r="D6" s="17">
        <f>BENCH_DAYS</f>
        <v>14</v>
      </c>
      <c r="E6" t="b">
        <f>INDEX(COVID_FLAG,2)</f>
        <v>0</v>
      </c>
    </row>
    <row r="7">
      <c r="A7" s="12">
        <f>INDEX(YEAR,3)</f>
        <v>2019</v>
      </c>
      <c r="B7" s="25">
        <f>DATE(INDEX(YEAR,3),7,1)</f>
        <v>43647</v>
      </c>
      <c r="C7" s="18">
        <f>INDEX(DAYS_PER_PT,3)</f>
        <v>16.4741127348643</v>
      </c>
      <c r="D7" s="17">
        <f>BENCH_DAYS</f>
        <v>14</v>
      </c>
      <c r="E7" t="b">
        <f>INDEX(COVID_FLAG,3)</f>
        <v>0</v>
      </c>
    </row>
    <row r="8">
      <c r="A8" s="12">
        <f>INDEX(YEAR,4)</f>
        <v>2020</v>
      </c>
      <c r="B8" s="25">
        <f>DATE(INDEX(YEAR,4),7,1)</f>
        <v>44013</v>
      </c>
      <c r="C8" s="18">
        <f>INDEX(DAYS_PER_PT,4)</f>
        <v>12.584449813309906</v>
      </c>
      <c r="D8" s="17">
        <f>BENCH_DAYS</f>
        <v>14</v>
      </c>
      <c r="E8" t="b">
        <f>INDEX(COVID_FLAG,4)</f>
        <v>1</v>
      </c>
    </row>
    <row r="9">
      <c r="A9" s="12">
        <f>INDEX(YEAR,5)</f>
        <v>2021</v>
      </c>
      <c r="B9" s="25">
        <f>DATE(INDEX(YEAR,5),7,1)</f>
        <v>44378</v>
      </c>
      <c r="C9" s="18">
        <f>INDEX(DAYS_PER_PT,5)</f>
        <v>12.187943982139233</v>
      </c>
      <c r="D9" s="17">
        <f>BENCH_DAYS</f>
        <v>14</v>
      </c>
      <c r="E9" t="b">
        <f>INDEX(COVID_FLAG,5)</f>
        <v>1</v>
      </c>
    </row>
    <row r="10">
      <c r="A10" s="12">
        <f>INDEX(YEAR,6)</f>
        <v>2022</v>
      </c>
      <c r="B10" s="25">
        <f>DATE(INDEX(YEAR,6),7,1)</f>
        <v>44743</v>
      </c>
      <c r="C10" s="18">
        <f>INDEX(DAYS_PER_PT,6)</f>
        <v>21.34229828850856</v>
      </c>
      <c r="D10" s="17">
        <f>BENCH_DAYS</f>
        <v>14</v>
      </c>
      <c r="E10" t="b">
        <f>INDEX(COVID_FLAG,6)</f>
        <v>0</v>
      </c>
    </row>
    <row r="11">
      <c r="A11" s="12">
        <f>INDEX(YEAR,7)</f>
        <v>2023</v>
      </c>
      <c r="B11" s="25">
        <f>DATE(INDEX(YEAR,7),7,1)</f>
        <v>45108</v>
      </c>
      <c r="C11" s="18">
        <f>INDEX(DAYS_PER_PT,7)</f>
        <v>23.018559556786702</v>
      </c>
      <c r="D11" s="17">
        <f>BENCH_DAYS</f>
        <v>14</v>
      </c>
      <c r="E11" t="b">
        <f>INDEX(COVID_FLAG,7)</f>
        <v>0</v>
      </c>
    </row>
    <row r="12">
      <c r="A12" s="12">
        <f>INDEX(YEAR,8)</f>
        <v>2024</v>
      </c>
      <c r="B12" s="25">
        <f>DATE(INDEX(YEAR,8),7,1)</f>
        <v>45474</v>
      </c>
      <c r="C12" s="18">
        <f>INDEX(DAYS_PER_PT,8)</f>
        <v>19.492795389048993</v>
      </c>
      <c r="D12" s="17">
        <f>BENCH_DAYS</f>
        <v>14</v>
      </c>
      <c r="E12" t="b">
        <f>INDEX(COVID_FLAG,8)</f>
        <v>0</v>
      </c>
    </row>
    <row r="14">
      <c r="A14" s="2" t="inlineStr">
        <is>
          <t>Rate events (figures a and c)</t>
        </is>
      </c>
    </row>
    <row r="15">
      <c r="A15" s="3" t="inlineStr">
        <is>
          <t>Event</t>
        </is>
      </c>
      <c r="B15" s="3" t="inlineStr">
        <is>
          <t>Date</t>
        </is>
      </c>
    </row>
    <row r="16">
      <c r="A16" s="4" t="inlineStr">
        <is>
          <t>12% adjustment for private homes</t>
        </is>
      </c>
      <c r="B16" s="25">
        <f>DATE_ADJ_2021</f>
        <v>44209</v>
      </c>
    </row>
    <row r="17">
      <c r="A17" s="4" t="inlineStr">
        <is>
          <t>Rate reset</t>
        </is>
      </c>
      <c r="B17" s="25">
        <f>DATE_RESET_2024</f>
        <v>45292</v>
      </c>
    </row>
    <row r="19">
      <c r="A19" s="2" t="inlineStr">
        <is>
          <t>Figure b: Dec 31 reason shares (of recorded reasons)</t>
        </is>
      </c>
    </row>
    <row r="20">
      <c r="A20" s="3" t="inlineStr">
        <is>
          <t>Year</t>
        </is>
      </c>
      <c r="B20" s="3" t="inlineStr">
        <is>
          <t>No bed</t>
        </is>
      </c>
      <c r="C20" s="3" t="inlineStr">
        <is>
          <t>Behavior</t>
        </is>
      </c>
      <c r="D20" s="3" t="inlineStr">
        <is>
          <t>Special care</t>
        </is>
      </c>
      <c r="E20" s="3" t="inlineStr">
        <is>
          <t>Financial</t>
        </is>
      </c>
      <c r="F20" s="3" t="inlineStr">
        <is>
          <t>Guardianship</t>
        </is>
      </c>
      <c r="G20" s="3" t="inlineStr">
        <is>
          <t>PASARR</t>
        </is>
      </c>
      <c r="H20" s="3" t="inlineStr">
        <is>
          <t>Other</t>
        </is>
      </c>
      <c r="I20" s="3" t="inlineStr">
        <is>
          <t>Bar label</t>
        </is>
      </c>
    </row>
    <row r="21">
      <c r="A21" s="12">
        <f>INDEX(YEAR,1)</f>
        <v>2017</v>
      </c>
      <c r="B21" s="19">
        <f>INDEX(SHARE_NO_BED,1)</f>
        <v>0.325</v>
      </c>
      <c r="C21" s="19">
        <f>INDEX(SHARE_BEHAVIOR,1)</f>
        <v>0.13333333333333333</v>
      </c>
      <c r="D21" s="19">
        <f>INDEX(SHARE_SPECIAL_CARE,1)</f>
        <v>0.19166666666666668</v>
      </c>
      <c r="E21" s="19">
        <f>INDEX(SHARE_FINANCIAL,1)</f>
        <v>0.15</v>
      </c>
      <c r="F21" s="19">
        <f>INDEX(SHARE_GUARDIANSHIP,1)</f>
        <v>0.09166666666666666</v>
      </c>
      <c r="G21" s="19">
        <f>INDEX(SHARE_PASARR,1)</f>
        <v>0.016666666666666666</v>
      </c>
      <c r="H21" s="19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2">
        <f>INDEX(YEAR,2)</f>
        <v>2018</v>
      </c>
      <c r="B22" s="19">
        <f>INDEX(SHARE_NO_BED,2)</f>
        <v>0.3333333333333333</v>
      </c>
      <c r="C22" s="19">
        <f>INDEX(SHARE_BEHAVIOR,2)</f>
        <v>0.1695906432748538</v>
      </c>
      <c r="D22" s="19">
        <f>INDEX(SHARE_SPECIAL_CARE,2)</f>
        <v>0.09941520467836257</v>
      </c>
      <c r="E22" s="19">
        <f>INDEX(SHARE_FINANCIAL,2)</f>
        <v>0.18128654970760233</v>
      </c>
      <c r="F22" s="19">
        <f>INDEX(SHARE_GUARDIANSHIP,2)</f>
        <v>0.10526315789473684</v>
      </c>
      <c r="G22" s="19">
        <f>INDEX(SHARE_PASARR,2)</f>
        <v>0.011695906432748537</v>
      </c>
      <c r="H22" s="19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2">
        <f>INDEX(YEAR,3)</f>
        <v>2019</v>
      </c>
      <c r="B23" s="19">
        <f>INDEX(SHARE_NO_BED,3)</f>
        <v>0.391304347826087</v>
      </c>
      <c r="C23" s="19">
        <f>INDEX(SHARE_BEHAVIOR,3)</f>
        <v>0.14673913043478262</v>
      </c>
      <c r="D23" s="19">
        <f>INDEX(SHARE_SPECIAL_CARE,3)</f>
        <v>0.11413043478260869</v>
      </c>
      <c r="E23" s="19">
        <f>INDEX(SHARE_FINANCIAL,3)</f>
        <v>0.17391304347826086</v>
      </c>
      <c r="F23" s="19">
        <f>INDEX(SHARE_GUARDIANSHIP,3)</f>
        <v>0.14130434782608695</v>
      </c>
      <c r="G23" s="19">
        <f>INDEX(SHARE_PASARR,3)</f>
        <v>0.0</v>
      </c>
      <c r="H23" s="19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2">
        <f>INDEX(YEAR,4)</f>
        <v>2020</v>
      </c>
      <c r="B24" s="19">
        <f>INDEX(SHARE_NO_BED,4)</f>
        <v>0.2847222222222222</v>
      </c>
      <c r="C24" s="19">
        <f>INDEX(SHARE_BEHAVIOR,4)</f>
        <v>0.16666666666666666</v>
      </c>
      <c r="D24" s="19">
        <f>INDEX(SHARE_SPECIAL_CARE,4)</f>
        <v>0.1527777777777778</v>
      </c>
      <c r="E24" s="19">
        <f>INDEX(SHARE_FINANCIAL,4)</f>
        <v>0.20833333333333334</v>
      </c>
      <c r="F24" s="19">
        <f>INDEX(SHARE_GUARDIANSHIP,4)</f>
        <v>0.10416666666666667</v>
      </c>
      <c r="G24" s="19">
        <f>INDEX(SHARE_PASARR,4)</f>
        <v>0.0</v>
      </c>
      <c r="H24" s="19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2">
        <f>INDEX(YEAR,5)</f>
        <v>2021</v>
      </c>
      <c r="B25" s="19">
        <f>INDEX(SHARE_NO_BED,5)</f>
        <v>0.26455026455026454</v>
      </c>
      <c r="C25" s="19">
        <f>INDEX(SHARE_BEHAVIOR,5)</f>
        <v>0.19047619047619047</v>
      </c>
      <c r="D25" s="19">
        <f>INDEX(SHARE_SPECIAL_CARE,5)</f>
        <v>0.1164021164021164</v>
      </c>
      <c r="E25" s="19">
        <f>INDEX(SHARE_FINANCIAL,5)</f>
        <v>0.2275132275132275</v>
      </c>
      <c r="F25" s="19">
        <f>INDEX(SHARE_GUARDIANSHIP,5)</f>
        <v>0.10582010582010581</v>
      </c>
      <c r="G25" s="19">
        <f>INDEX(SHARE_PASARR,5)</f>
        <v>0.0</v>
      </c>
      <c r="H25" s="19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2">
        <f>INDEX(YEAR,6)</f>
        <v>2022</v>
      </c>
      <c r="B26" s="19">
        <f>INDEX(SHARE_NO_BED,6)</f>
        <v>0.228</v>
      </c>
      <c r="C26" s="19">
        <f>INDEX(SHARE_BEHAVIOR,6)</f>
        <v>0.14</v>
      </c>
      <c r="D26" s="19">
        <f>INDEX(SHARE_SPECIAL_CARE,6)</f>
        <v>0.156</v>
      </c>
      <c r="E26" s="19">
        <f>INDEX(SHARE_FINANCIAL,6)</f>
        <v>0.3</v>
      </c>
      <c r="F26" s="19">
        <f>INDEX(SHARE_GUARDIANSHIP,6)</f>
        <v>0.116</v>
      </c>
      <c r="G26" s="19">
        <f>INDEX(SHARE_PASARR,6)</f>
        <v>0.02</v>
      </c>
      <c r="H26" s="19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2">
        <f>INDEX(YEAR,7)</f>
        <v>2023</v>
      </c>
      <c r="B27" s="19">
        <f>INDEX(SHARE_NO_BED,7)</f>
        <v>0.2198952879581152</v>
      </c>
      <c r="C27" s="19">
        <f>INDEX(SHARE_BEHAVIOR,7)</f>
        <v>0.2513089005235602</v>
      </c>
      <c r="D27" s="19">
        <f>INDEX(SHARE_SPECIAL_CARE,7)</f>
        <v>0.13612565445026178</v>
      </c>
      <c r="E27" s="19">
        <f>INDEX(SHARE_FINANCIAL,7)</f>
        <v>0.2356020942408377</v>
      </c>
      <c r="F27" s="19">
        <f>INDEX(SHARE_GUARDIANSHIP,7)</f>
        <v>0.14659685863874344</v>
      </c>
      <c r="G27" s="19">
        <f>INDEX(SHARE_PASARR,7)</f>
        <v>0.005235602094240838</v>
      </c>
      <c r="H27" s="19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2">
        <f>INDEX(YEAR,8)</f>
        <v>2024</v>
      </c>
      <c r="B28" s="19">
        <f>INDEX(SHARE_NO_BED,8)</f>
        <v>0.1791907514450867</v>
      </c>
      <c r="C28" s="19">
        <f>INDEX(SHARE_BEHAVIOR,8)</f>
        <v>0.1676300578034682</v>
      </c>
      <c r="D28" s="19">
        <f>INDEX(SHARE_SPECIAL_CARE,8)</f>
        <v>0.10404624277456648</v>
      </c>
      <c r="E28" s="19">
        <f>INDEX(SHARE_FINANCIAL,8)</f>
        <v>0.3468208092485549</v>
      </c>
      <c r="F28" s="19">
        <f>INDEX(SHARE_GUARDIANSHIP,8)</f>
        <v>0.1791907514450867</v>
      </c>
      <c r="G28" s="19">
        <f>INDEX(SHARE_PASARR,8)</f>
        <v>0.0</v>
      </c>
      <c r="H28" s="19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2" t="inlineStr">
        <is>
          <t>Test 1 windows (figure b shading)</t>
        </is>
      </c>
    </row>
    <row r="31">
      <c r="A31" s="3" t="inlineStr">
        <is>
          <t>Window</t>
        </is>
      </c>
      <c r="B31" s="3" t="inlineStr">
        <is>
          <t>From (Dec 31)</t>
        </is>
      </c>
      <c r="C31" s="3" t="inlineStr">
        <is>
          <t>To (Dec 31)</t>
        </is>
      </c>
    </row>
    <row r="32">
      <c r="A32" s="4" t="inlineStr">
        <is>
          <t>Across the 12% adjustment</t>
        </is>
      </c>
      <c r="B32" s="26">
        <f>YEAR(DATE_ADJ_2021)-1</f>
        <v>2020.0</v>
      </c>
      <c r="C32" s="26">
        <f>YEAR(DATE_ADJ_2021)</f>
        <v>2021</v>
      </c>
    </row>
    <row r="33">
      <c r="A33" s="4" t="inlineStr">
        <is>
          <t>Across the reset</t>
        </is>
      </c>
      <c r="B33" s="26">
        <f>YEAR(DATE_RESET_2024)-1</f>
        <v>2023.0</v>
      </c>
      <c r="C33" s="26">
        <f>YEAR(DATE_RESET_2024)</f>
        <v>2024</v>
      </c>
    </row>
    <row r="35">
      <c r="A35" s="2" t="inlineStr">
        <is>
          <t>Figure c (rate): median nursing-facility rate at each scheduled January/July memo slot; blank = missing memo or no median</t>
        </is>
      </c>
    </row>
    <row r="36" ht="32" customHeight="1">
      <c r="A36" s="3" t="inlineStr">
        <is>
          <t>Slot (effective month)</t>
        </is>
      </c>
      <c r="B36" s="3" t="inlineStr">
        <is>
          <t>Median rate</t>
        </is>
      </c>
      <c r="C36" s="3" t="inlineStr">
        <is>
          <t>Status</t>
        </is>
      </c>
    </row>
    <row r="37">
      <c r="A37" s="14">
        <f>DATE(2016,1,1)</f>
        <v>42370</v>
      </c>
      <c r="B37" s="21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4">
        <f>DATE(2016,7,1)</f>
        <v>42552</v>
      </c>
      <c r="B38" s="21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4">
        <f>DATE(2017,1,1)</f>
        <v>42736</v>
      </c>
      <c r="B39" s="21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4">
        <f>DATE(2017,7,1)</f>
        <v>42917</v>
      </c>
      <c r="B40" s="21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4">
        <f>DATE(2018,1,1)</f>
        <v>43101</v>
      </c>
      <c r="B41" s="21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4">
        <f>DATE(2018,7,1)</f>
        <v>43282</v>
      </c>
      <c r="B42" s="21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4">
        <f>DATE(2019,1,1)</f>
        <v>43466</v>
      </c>
      <c r="B43" s="21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4">
        <f>DATE(2019,7,1)</f>
        <v>43647</v>
      </c>
      <c r="B44" s="21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4">
        <f>DATE(2020,1,1)</f>
        <v>43831</v>
      </c>
      <c r="B45" s="21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4">
        <f>DATE(2020,7,1)</f>
        <v>44013</v>
      </c>
      <c r="B46" s="21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4">
        <f>DATE(2021,1,1)</f>
        <v>44197</v>
      </c>
      <c r="B47" s="21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4">
        <f>DATE(2021,7,1)</f>
        <v>44378</v>
      </c>
      <c r="B48" s="21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4">
        <f>DATE(2022,1,1)</f>
        <v>44562</v>
      </c>
      <c r="B49" s="21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4">
        <f>DATE(2022,7,1)</f>
        <v>44743</v>
      </c>
      <c r="B50" s="21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4">
        <f>DATE(2023,1,1)</f>
        <v>44927</v>
      </c>
      <c r="B51" s="21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4">
        <f>DATE(2023,7,1)</f>
        <v>45108</v>
      </c>
      <c r="B52" s="21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4">
        <f>DATE(2024,1,1)</f>
        <v>45292</v>
      </c>
      <c r="B53" s="21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4">
        <f>DATE(2024,7,1)</f>
        <v>45474</v>
      </c>
      <c r="B54" s="21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4">
        <f>DATE(2025,1,1)</f>
        <v>45658</v>
      </c>
      <c r="B55" s="21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4">
        <f>DATE(2025,7,1)</f>
        <v>45839</v>
      </c>
      <c r="B56" s="21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4">
        <f>DATE(2026,1,1)</f>
        <v>46023</v>
      </c>
      <c r="B57" s="21">
        <f>IF(ISNA(MATCH(A57,RATE_DATE,0)),"",IF(INDEX(NF_RATE_MEDIAN,MATCH(A57,RATE_DATE,0))="","",INDEX(NF_RATE_MEDIAN,MATCH(A57,RATE_DATE,0))))</f>
        <v>495.25</v>
      </c>
      <c r="C57" t="str">
        <f>IF(ISNA(MATCH(A57,RATE_DATE,0)),"missing memo",IF(INDEX(NF_RATE_MEDIAN,MATCH(A57,RATE_DATE,0))="","no median",""))</f>
        <v/>
      </c>
    </row>
    <row r="59">
      <c r="A59" s="2" t="inlineStr">
        <is>
          <t>Figure c (cost): median cost per patient day, each fiscal year plotted at July 1</t>
        </is>
      </c>
    </row>
    <row r="60" ht="32" customHeight="1">
      <c r="A60" s="3" t="inlineStr">
        <is>
          <t>Fiscal year</t>
        </is>
      </c>
      <c r="B60" s="3" t="inlineStr">
        <is>
          <t>Plot date (July 1)</t>
        </is>
      </c>
      <c r="C60" s="3" t="inlineStr">
        <is>
          <t>Medicaid-heavy homes</t>
        </is>
      </c>
      <c r="D60" s="3" t="inlineStr">
        <is>
          <t>All facilities</t>
        </is>
      </c>
    </row>
    <row r="61">
      <c r="A61" s="12">
        <f>INDEX(COST_FY,1)</f>
        <v>2011</v>
      </c>
      <c r="B61" s="25">
        <f>DATE(INDEX(COST_FY,1),7,1)</f>
        <v>40725</v>
      </c>
      <c r="C61" s="21">
        <f>INDEX(NF_COST_MCD_HEAVY,1)</f>
        <v>287.76</v>
      </c>
      <c r="D61" s="21">
        <f>INDEX(NF_COST_ALL,1)</f>
        <v>295.13</v>
      </c>
    </row>
    <row r="62">
      <c r="A62" s="12">
        <f>INDEX(COST_FY,2)</f>
        <v>2012</v>
      </c>
      <c r="B62" s="25">
        <f>DATE(INDEX(COST_FY,2),7,1)</f>
        <v>41091</v>
      </c>
      <c r="C62" s="21">
        <f>INDEX(NF_COST_MCD_HEAVY,2)</f>
        <v>311.89</v>
      </c>
      <c r="D62" s="21">
        <f>INDEX(NF_COST_ALL,2)</f>
        <v>314.68</v>
      </c>
    </row>
    <row r="63">
      <c r="A63" s="12">
        <f>INDEX(COST_FY,3)</f>
        <v>2013</v>
      </c>
      <c r="B63" s="25">
        <f>DATE(INDEX(COST_FY,3),7,1)</f>
        <v>41456</v>
      </c>
      <c r="C63" s="21">
        <f>INDEX(NF_COST_MCD_HEAVY,3)</f>
        <v>322.2</v>
      </c>
      <c r="D63" s="21">
        <f>INDEX(NF_COST_ALL,3)</f>
        <v>342.42</v>
      </c>
    </row>
    <row r="64">
      <c r="A64" s="12">
        <f>INDEX(COST_FY,4)</f>
        <v>2014</v>
      </c>
      <c r="B64" s="25">
        <f>DATE(INDEX(COST_FY,4),7,1)</f>
        <v>41821</v>
      </c>
      <c r="C64" s="21">
        <f>INDEX(NF_COST_MCD_HEAVY,4)</f>
        <v>322.2</v>
      </c>
      <c r="D64" s="21">
        <f>INDEX(NF_COST_ALL,4)</f>
        <v>344.18</v>
      </c>
    </row>
    <row r="65">
      <c r="A65" s="12">
        <f>INDEX(COST_FY,5)</f>
        <v>2015</v>
      </c>
      <c r="B65" s="25">
        <f>DATE(INDEX(COST_FY,5),7,1)</f>
        <v>42186</v>
      </c>
      <c r="C65" s="21">
        <f>INDEX(NF_COST_MCD_HEAVY,5)</f>
        <v>322.11</v>
      </c>
      <c r="D65" s="21">
        <f>INDEX(NF_COST_ALL,5)</f>
        <v>340.9</v>
      </c>
    </row>
    <row r="66">
      <c r="A66" s="12">
        <f>INDEX(COST_FY,6)</f>
        <v>2016</v>
      </c>
      <c r="B66" s="25">
        <f>DATE(INDEX(COST_FY,6),7,1)</f>
        <v>42552</v>
      </c>
      <c r="C66" s="21">
        <f>INDEX(NF_COST_MCD_HEAVY,6)</f>
        <v>344.38</v>
      </c>
      <c r="D66" s="21">
        <f>INDEX(NF_COST_ALL,6)</f>
        <v>358.8</v>
      </c>
    </row>
    <row r="67">
      <c r="A67" s="12">
        <f>INDEX(COST_FY,7)</f>
        <v>2017</v>
      </c>
      <c r="B67" s="25">
        <f>DATE(INDEX(COST_FY,7),7,1)</f>
        <v>42917</v>
      </c>
      <c r="C67" s="21">
        <f>INDEX(NF_COST_MCD_HEAVY,7)</f>
        <v>356.1</v>
      </c>
      <c r="D67" s="21">
        <f>INDEX(NF_COST_ALL,7)</f>
        <v>376.01</v>
      </c>
    </row>
    <row r="68">
      <c r="A68" s="12">
        <f>INDEX(COST_FY,8)</f>
        <v>2018</v>
      </c>
      <c r="B68" s="25">
        <f>DATE(INDEX(COST_FY,8),7,1)</f>
        <v>43282</v>
      </c>
      <c r="C68" s="21">
        <f>INDEX(NF_COST_MCD_HEAVY,8)</f>
        <v>365.93</v>
      </c>
      <c r="D68" s="21">
        <f>INDEX(NF_COST_ALL,8)</f>
        <v>380.99</v>
      </c>
    </row>
    <row r="69">
      <c r="A69" s="12">
        <f>INDEX(COST_FY,9)</f>
        <v>2019</v>
      </c>
      <c r="B69" s="25">
        <f>DATE(INDEX(COST_FY,9),7,1)</f>
        <v>43647</v>
      </c>
      <c r="C69" s="21">
        <f>INDEX(NF_COST_MCD_HEAVY,9)</f>
        <v>373.25</v>
      </c>
      <c r="D69" s="21">
        <f>INDEX(NF_COST_ALL,9)</f>
        <v>379.87</v>
      </c>
    </row>
    <row r="70">
      <c r="A70" s="12">
        <f>INDEX(COST_FY,10)</f>
        <v>2020</v>
      </c>
      <c r="B70" s="25">
        <f>DATE(INDEX(COST_FY,10),7,1)</f>
        <v>44013</v>
      </c>
      <c r="C70" s="21">
        <f>INDEX(NF_COST_MCD_HEAVY,10)</f>
        <v>398.33</v>
      </c>
      <c r="D70" s="21">
        <f>INDEX(NF_COST_ALL,10)</f>
        <v>428.4</v>
      </c>
    </row>
    <row r="71">
      <c r="A71" s="12">
        <f>INDEX(COST_FY,11)</f>
        <v>2021</v>
      </c>
      <c r="B71" s="25">
        <f>DATE(INDEX(COST_FY,11),7,1)</f>
        <v>44378</v>
      </c>
      <c r="C71" s="21">
        <f>INDEX(NF_COST_MCD_HEAVY,11)</f>
        <v>423.44</v>
      </c>
      <c r="D71" s="21">
        <f>INDEX(NF_COST_ALL,11)</f>
        <v>450.4</v>
      </c>
    </row>
    <row r="72">
      <c r="A72" s="12">
        <f>INDEX(COST_FY,12)</f>
        <v>2022</v>
      </c>
      <c r="B72" s="25">
        <f>DATE(INDEX(COST_FY,12),7,1)</f>
        <v>44743</v>
      </c>
      <c r="C72" s="21">
        <f>INDEX(NF_COST_MCD_HEAVY,12)</f>
        <v>435.63</v>
      </c>
      <c r="D72" s="21">
        <f>INDEX(NF_COST_ALL,12)</f>
        <v>459.47</v>
      </c>
    </row>
    <row r="73">
      <c r="A73" s="12">
        <f>INDEX(COST_FY,13)</f>
        <v>2023</v>
      </c>
      <c r="B73" s="25">
        <f>DATE(INDEX(COST_FY,13),7,1)</f>
        <v>45108</v>
      </c>
      <c r="C73" s="21">
        <f>INDEX(NF_COST_MCD_HEAVY,13)</f>
        <v>461.78</v>
      </c>
      <c r="D73" s="21">
        <f>INDEX(NF_COST_ALL,13)</f>
        <v>519.16</v>
      </c>
    </row>
    <row r="75">
      <c r="A75" s="2" t="inlineStr">
        <is>
          <t>Figure d: total waitlist days split at the benchmark</t>
        </is>
      </c>
    </row>
    <row r="76" ht="32" customHeight="1">
      <c r="A76" s="3" t="inlineStr">
        <is>
          <t>Year</t>
        </is>
      </c>
      <c r="B76" s="3" t="inlineStr">
        <is>
          <t>Within the benchmark</t>
        </is>
      </c>
      <c r="C76" s="3" t="inlineStr">
        <is>
          <t>Excess</t>
        </is>
      </c>
      <c r="D76" s="3" t="inlineStr">
        <is>
          <t>Total waitlist days</t>
        </is>
      </c>
    </row>
    <row r="77">
      <c r="A77" s="12">
        <f>INDEX(YEAR,1)</f>
        <v>2017</v>
      </c>
      <c r="B77" s="17">
        <f>INDEX(WITHIN_DAYS,1)</f>
        <v>61470.0</v>
      </c>
      <c r="C77" s="17">
        <f>INDEX(EXCESS_DAYS,1)</f>
        <v>0</v>
      </c>
      <c r="D77" s="17">
        <f>INDEX(WL_DAYS,1)</f>
        <v>61470</v>
      </c>
    </row>
    <row r="78">
      <c r="A78" s="12">
        <f>INDEX(YEAR,2)</f>
        <v>2018</v>
      </c>
      <c r="B78" s="17">
        <f>INDEX(WITHIN_DAYS,2)</f>
        <v>66091.0</v>
      </c>
      <c r="C78" s="17">
        <f>INDEX(EXCESS_DAYS,2)</f>
        <v>0</v>
      </c>
      <c r="D78" s="17">
        <f>INDEX(WL_DAYS,2)</f>
        <v>66091</v>
      </c>
    </row>
    <row r="79">
      <c r="A79" s="12">
        <f>INDEX(YEAR,3)</f>
        <v>2019</v>
      </c>
      <c r="B79" s="17">
        <f>INDEX(WITHIN_DAYS,3)</f>
        <v>67060.0</v>
      </c>
      <c r="C79" s="17">
        <f>INDEX(EXCESS_DAYS,3)</f>
        <v>11851.0</v>
      </c>
      <c r="D79" s="17">
        <f>INDEX(WL_DAYS,3)</f>
        <v>78911</v>
      </c>
    </row>
    <row r="80">
      <c r="A80" s="12">
        <f>INDEX(YEAR,4)</f>
        <v>2020</v>
      </c>
      <c r="B80" s="17">
        <f>INDEX(WITHIN_DAYS,4)</f>
        <v>57297.0</v>
      </c>
      <c r="C80" s="17">
        <f>INDEX(EXCESS_DAYS,4)</f>
        <v>0</v>
      </c>
      <c r="D80" s="17">
        <f>INDEX(WL_DAYS,4)</f>
        <v>57297</v>
      </c>
    </row>
    <row r="81">
      <c r="A81" s="12">
        <f>INDEX(YEAR,5)</f>
        <v>2021</v>
      </c>
      <c r="B81" s="17">
        <f>INDEX(WITHIN_DAYS,5)</f>
        <v>60050.0</v>
      </c>
      <c r="C81" s="17">
        <f>INDEX(EXCESS_DAYS,5)</f>
        <v>0</v>
      </c>
      <c r="D81" s="17">
        <f>INDEX(WL_DAYS,5)</f>
        <v>60050</v>
      </c>
    </row>
    <row r="82">
      <c r="A82" s="12">
        <f>INDEX(YEAR,6)</f>
        <v>2022</v>
      </c>
      <c r="B82" s="17">
        <f>INDEX(WITHIN_DAYS,6)</f>
        <v>51534.0</v>
      </c>
      <c r="C82" s="17">
        <f>INDEX(EXCESS_DAYS,6)</f>
        <v>27027.0</v>
      </c>
      <c r="D82" s="17">
        <f>INDEX(WL_DAYS,6)</f>
        <v>78561</v>
      </c>
    </row>
    <row r="83">
      <c r="A83" s="12">
        <f>INDEX(YEAR,7)</f>
        <v>2023</v>
      </c>
      <c r="B83" s="17">
        <f>INDEX(WITHIN_DAYS,7)</f>
        <v>50540.0</v>
      </c>
      <c r="C83" s="17">
        <f>INDEX(EXCESS_DAYS,7)</f>
        <v>32557.0</v>
      </c>
      <c r="D83" s="17">
        <f>INDEX(WL_DAYS,7)</f>
        <v>83097</v>
      </c>
    </row>
    <row r="84">
      <c r="A84" s="12">
        <f>INDEX(YEAR,8)</f>
        <v>2024</v>
      </c>
      <c r="B84" s="17">
        <f>INDEX(WITHIN_DAYS,8)</f>
        <v>43722.0</v>
      </c>
      <c r="C84" s="17">
        <f>INDEX(EXCESS_DAYS,8)</f>
        <v>17154.0</v>
      </c>
      <c r="D84" s="17">
        <f>INDEX(WL_DAYS,8)</f>
        <v>60876</v>
      </c>
    </row>
    <row r="86">
      <c r="A86" s="13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16" customWidth="1" min="4" max="4"/>
    <col width="11" customWidth="1" min="5" max="5"/>
    <col width="10" customWidth="1" min="6" max="6"/>
  </cols>
  <sheetData>
    <row r="1">
      <c r="A1" s="1" t="inlineStr">
        <is>
          <t>Checks: the spec's validation rules that a formula can test, each PASS or FAIL</t>
        </is>
      </c>
    </row>
    <row r="3">
      <c r="A3" s="3" t="inlineStr">
        <is>
          <t>#</t>
        </is>
      </c>
      <c r="B3" s="3" t="inlineStr">
        <is>
          <t>Check</t>
        </is>
      </c>
      <c r="C3" s="3" t="inlineStr">
        <is>
          <t>Computed</t>
        </is>
      </c>
      <c r="D3" s="3" t="inlineStr">
        <is>
          <t>Expected</t>
        </is>
      </c>
      <c r="E3" s="3" t="inlineStr">
        <is>
          <t>Tolerance</t>
        </is>
      </c>
      <c r="F3" s="3" t="inlineStr">
        <is>
          <t>Result</t>
        </is>
      </c>
    </row>
    <row r="4">
      <c r="A4" s="27">
        <f>1</f>
        <v>1</v>
      </c>
      <c r="B4" s="4" t="inlineStr">
        <is>
          <t>DAYS_PER_PT(2023)</t>
        </is>
      </c>
      <c r="C4" s="18">
        <f>INDEX(DAYS_PER_PT,MATCH(2023,YEAR,0))</f>
        <v>23.018559556786702</v>
      </c>
      <c r="D4" s="18">
        <f>23.02</f>
        <v>23.02</v>
      </c>
      <c r="E4">
        <f>0.005</f>
        <v>0.005</v>
      </c>
      <c r="F4" t="str">
        <f>IF(ABS(C4-D4)&lt;=E4,"PASS","FAIL")</f>
        <v>PASS</v>
      </c>
    </row>
    <row r="5">
      <c r="A5" s="27">
        <f>2</f>
        <v>2</v>
      </c>
      <c r="B5" s="4" t="inlineStr">
        <is>
          <t>DAYS_PER_PT(2024)</t>
        </is>
      </c>
      <c r="C5" s="18">
        <f>INDEX(DAYS_PER_PT,MATCH(2024,YEAR,0))</f>
        <v>19.492795389048993</v>
      </c>
      <c r="D5" s="18">
        <f>19.49</f>
        <v>19.49</v>
      </c>
      <c r="E5">
        <f>0.005</f>
        <v>0.005</v>
      </c>
      <c r="F5" t="str">
        <f>IF(ABS(C5-D5)&lt;=E5,"PASS","FAIL")</f>
        <v>PASS</v>
      </c>
    </row>
    <row r="6">
      <c r="A6" s="27">
        <f>3</f>
        <v>3</v>
      </c>
      <c r="B6" s="4" t="inlineStr">
        <is>
          <t>EXCESS_DAYS(2023)</t>
        </is>
      </c>
      <c r="C6" s="17">
        <f>INDEX(EXCESS_DAYS,MATCH(2023,YEAR,0))</f>
        <v>32557.0</v>
      </c>
      <c r="D6" s="17">
        <f>32557</f>
        <v>32557</v>
      </c>
      <c r="E6">
        <f>0.5</f>
        <v>0.5</v>
      </c>
      <c r="F6" t="str">
        <f>IF(ABS(C6-D6)&lt;=E6,"PASS","FAIL")</f>
        <v>PASS</v>
      </c>
    </row>
    <row r="7">
      <c r="A7" s="27">
        <f>4</f>
        <v>4</v>
      </c>
      <c r="B7" s="4" t="inlineStr">
        <is>
          <t>EXCESS_DAYS(2024)</t>
        </is>
      </c>
      <c r="C7" s="17">
        <f>INDEX(EXCESS_DAYS,MATCH(2024,YEAR,0))</f>
        <v>17154.0</v>
      </c>
      <c r="D7" s="17">
        <f>17154</f>
        <v>17154</v>
      </c>
      <c r="E7">
        <f>0.5</f>
        <v>0.5</v>
      </c>
      <c r="F7" t="str">
        <f>IF(ABS(C7-D7)&lt;=E7,"PASS","FAIL")</f>
        <v>PASS</v>
      </c>
    </row>
    <row r="8">
      <c r="A8" s="27">
        <f>5</f>
        <v>5</v>
      </c>
      <c r="B8" s="4" t="inlineStr">
        <is>
          <t>EXCESS_BEDS(2023) (365 days)</t>
        </is>
      </c>
      <c r="C8" s="16">
        <f>INDEX(EXCESS_BEDS,MATCH(2023,YEAR,0))</f>
        <v>89.1972602739726</v>
      </c>
      <c r="D8" s="16">
        <f>89.2</f>
        <v>89.2</v>
      </c>
      <c r="E8">
        <f>0.05</f>
        <v>0.05</v>
      </c>
      <c r="F8" t="str">
        <f>IF(ABS(C8-D8)&lt;=E8,"PASS","FAIL")</f>
        <v>PASS</v>
      </c>
    </row>
    <row r="9">
      <c r="A9" s="27">
        <f>6</f>
        <v>6</v>
      </c>
      <c r="B9" s="4" t="inlineStr">
        <is>
          <t>EXCESS_BEDS(2024) (366 days)</t>
        </is>
      </c>
      <c r="C9" s="16">
        <f>INDEX(EXCESS_BEDS,MATCH(2024,YEAR,0))</f>
        <v>46.868852459016395</v>
      </c>
      <c r="D9" s="16">
        <f>46.9</f>
        <v>46.9</v>
      </c>
      <c r="E9">
        <f>0.05</f>
        <v>0.05</v>
      </c>
      <c r="F9" t="str">
        <f>IF(ABS(C9-D9)&lt;=E9,"PASS","FAIL")</f>
        <v>PASS</v>
      </c>
    </row>
    <row r="10">
      <c r="A10" s="27">
        <f>7</f>
        <v>7</v>
      </c>
      <c r="B10" s="4" t="inlineStr">
        <is>
          <t>EXCESS_DAYS in 2017, 2018, 2020, 2021 (sum)</t>
        </is>
      </c>
      <c r="C10" s="17">
        <f>INDEX(EXCESS_DAYS,MATCH(2017,YEAR,0))+INDEX(EXCESS_DAYS,MATCH(2018,YEAR,0))+INDEX(EXCESS_DAYS,MATCH(2020,YEAR,0))+INDEX(EXCESS_DAYS,MATCH(2021,YEAR,0))</f>
        <v>0.0</v>
      </c>
      <c r="D10" s="17">
        <f>0</f>
        <v>0</v>
      </c>
      <c r="E10">
        <f>0</f>
        <v>0</v>
      </c>
      <c r="F10" t="str">
        <f>IF(ABS(C10-D10)&lt;=E10,"PASS","FAIL")</f>
        <v>PASS</v>
      </c>
    </row>
    <row r="11">
      <c r="A11" s="27">
        <f>8</f>
        <v>8</v>
      </c>
      <c r="B11" s="4" t="inlineStr">
        <is>
          <t>GAP_PER_PT(2017)</t>
        </is>
      </c>
      <c r="C11" s="18">
        <f>INDEX(GAP_PER_PT,MATCH(2017,YEAR,0))</f>
        <v>-4.064651689025375</v>
      </c>
      <c r="D11" s="18">
        <f>-4.06</f>
        <v>-4.06</v>
      </c>
      <c r="E11">
        <f>0.005</f>
        <v>0.005</v>
      </c>
      <c r="F11" t="str">
        <f>IF(ABS(C11-D11)&lt;=E11,"PASS","FAIL")</f>
        <v>PASS</v>
      </c>
    </row>
    <row r="12">
      <c r="A12" s="27">
        <f>9</f>
        <v>9</v>
      </c>
      <c r="B12" s="4" t="inlineStr">
        <is>
          <t>GAP_PER_PT(2024)</t>
        </is>
      </c>
      <c r="C12" s="18">
        <f>INDEX(GAP_PER_PT,MATCH(2024,YEAR,0))</f>
        <v>5.492795389048993</v>
      </c>
      <c r="D12" s="18">
        <f>5.49</f>
        <v>5.49</v>
      </c>
      <c r="E12">
        <f>0.005</f>
        <v>0.005</v>
      </c>
      <c r="F12" t="str">
        <f>IF(ABS(C12-D12)&lt;=E12,"PASS","FAIL")</f>
        <v>PASS</v>
      </c>
    </row>
    <row r="13">
      <c r="A13" s="27">
        <f>10</f>
        <v>10</v>
      </c>
      <c r="B13" s="4" t="inlineStr">
        <is>
          <t>WL_RATE_AVG(2023)</t>
        </is>
      </c>
      <c r="C13" s="22">
        <f>INDEX(WL_RATE_AVG,1)</f>
        <v>293.245</v>
      </c>
      <c r="D13" s="22">
        <f>293.245</f>
        <v>293.245</v>
      </c>
      <c r="E13">
        <f>0.0005</f>
        <v>0.0005</v>
      </c>
      <c r="F13" t="str">
        <f>IF(ABS(C13-D13)&lt;=E13,"PASS","FAIL")</f>
        <v>PASS</v>
      </c>
    </row>
    <row r="14">
      <c r="A14" s="27">
        <f>11</f>
        <v>11</v>
      </c>
      <c r="B14" s="4" t="inlineStr">
        <is>
          <t>WL_RATE_AVG(2024)</t>
        </is>
      </c>
      <c r="C14" s="22">
        <f>INDEX(WL_RATE_AVG,2)</f>
        <v>460.28</v>
      </c>
      <c r="D14" s="22">
        <f>460.28</f>
        <v>460.28</v>
      </c>
      <c r="E14">
        <f>0.005</f>
        <v>0.005</v>
      </c>
      <c r="F14" t="str">
        <f>IF(ABS(C14-D14)&lt;=E14,"PASS","FAIL")</f>
        <v>PASS</v>
      </c>
    </row>
    <row r="15">
      <c r="A15" s="27">
        <f>12</f>
        <v>12</v>
      </c>
      <c r="B15" s="4" t="inlineStr">
        <is>
          <t>NET_COST_LO(2024)</t>
        </is>
      </c>
      <c r="C15" s="21">
        <f>INDEX(NET_COST_LO,2)</f>
        <v>89.72000000000003</v>
      </c>
      <c r="D15" s="21">
        <f>89.72</f>
        <v>89.72</v>
      </c>
      <c r="E15">
        <f>0.005</f>
        <v>0.005</v>
      </c>
      <c r="F15" t="str">
        <f>IF(ABS(C15-D15)&lt;=E15,"PASS","FAIL")</f>
        <v>PASS</v>
      </c>
    </row>
    <row r="16">
      <c r="A16" s="27">
        <f>13</f>
        <v>13</v>
      </c>
      <c r="B16" s="4" t="inlineStr">
        <is>
          <t>NET_COST_HI(2024)</t>
        </is>
      </c>
      <c r="C16" s="21">
        <f>INDEX(NET_COST_HI,2)</f>
        <v>1009.72</v>
      </c>
      <c r="D16" s="21">
        <f>1009.72</f>
        <v>1009.72</v>
      </c>
      <c r="E16">
        <f>0.005</f>
        <v>0.005</v>
      </c>
      <c r="F16" t="str">
        <f>IF(ABS(C16-D16)&lt;=E16,"PASS","FAIL")</f>
        <v>PASS</v>
      </c>
    </row>
    <row r="17">
      <c r="A17" s="27">
        <f>14</f>
        <v>14</v>
      </c>
      <c r="B17" s="4" t="inlineStr">
        <is>
          <t>EXCESS_COST_LO(2024) (about)</t>
        </is>
      </c>
      <c r="C17" s="23">
        <f>INDEX(EXCESS_COST_LO,2)</f>
        <v>1539056.8800000004</v>
      </c>
      <c r="D17" s="23">
        <f>1539057</f>
        <v>1539057</v>
      </c>
      <c r="E17">
        <f>0.5</f>
        <v>0.5</v>
      </c>
      <c r="F17" t="str">
        <f>IF(ABS(C17-D17)&lt;=E17,"PASS","FAIL")</f>
        <v>PASS</v>
      </c>
    </row>
    <row r="18">
      <c r="A18" s="27">
        <f>15</f>
        <v>15</v>
      </c>
      <c r="B18" s="4" t="inlineStr">
        <is>
          <t>EXCESS_COST_HI(2024) (about)</t>
        </is>
      </c>
      <c r="C18" s="23">
        <f>INDEX(EXCESS_COST_HI,2)</f>
        <v>17320736.88</v>
      </c>
      <c r="D18" s="23">
        <f>17320737</f>
        <v>17320737</v>
      </c>
      <c r="E18">
        <f>0.5</f>
        <v>0.5</v>
      </c>
      <c r="F18" t="str">
        <f>IF(ABS(C18-D18)&lt;=E18,"PASS","FAIL")</f>
        <v>PASS</v>
      </c>
    </row>
    <row r="19">
      <c r="A19" s="27">
        <f>16</f>
        <v>16</v>
      </c>
      <c r="B19" s="4" t="inlineStr">
        <is>
          <t>NET_COST_LO_NOW</t>
        </is>
      </c>
      <c r="C19" s="21">
        <f>NET_COST_LO_NOW</f>
        <v>63.24000000000001</v>
      </c>
      <c r="D19" s="21">
        <f>63.24</f>
        <v>63.24</v>
      </c>
      <c r="E19">
        <f>0.005</f>
        <v>0.005</v>
      </c>
      <c r="F19" t="str">
        <f>IF(ABS(C19-D19)&lt;=E19,"PASS","FAIL")</f>
        <v>PASS</v>
      </c>
    </row>
    <row r="20">
      <c r="A20" s="27">
        <f>17</f>
        <v>17</v>
      </c>
      <c r="B20" s="4" t="inlineStr">
        <is>
          <t>NET_COST_HI_NOW</t>
        </is>
      </c>
      <c r="C20" s="21">
        <f>NET_COST_HI_NOW</f>
        <v>983.24</v>
      </c>
      <c r="D20" s="21">
        <f>983.24</f>
        <v>983.24</v>
      </c>
      <c r="E20">
        <f>0.005</f>
        <v>0.005</v>
      </c>
      <c r="F20" t="str">
        <f>IF(ABS(C20-D20)&lt;=E20,"PASS","FAIL")</f>
        <v>PASS</v>
      </c>
    </row>
    <row r="21">
      <c r="A21" s="27">
        <f>18</f>
        <v>18</v>
      </c>
      <c r="B21" s="4" t="inlineStr">
        <is>
          <t>WL_DAYS_CHANGE_2024</t>
        </is>
      </c>
      <c r="C21" s="19">
        <f>WL_DAYS_CHANGE_2024</f>
        <v>-0.26741037582584204</v>
      </c>
      <c r="D21" s="19">
        <f>-0.267</f>
        <v>-0.267</v>
      </c>
      <c r="E21">
        <f>0.0005</f>
        <v>0.0005</v>
      </c>
      <c r="F21" t="str">
        <f>IF(ABS(C21-D21)&lt;=E21,"PASS","FAIL")</f>
        <v>PASS</v>
      </c>
    </row>
    <row r="22">
      <c r="A22" s="27">
        <f>19</f>
        <v>19</v>
      </c>
      <c r="B22" s="4" t="inlineStr">
        <is>
          <t>T1_DROP_2021 (points)</t>
        </is>
      </c>
      <c r="C22" s="18">
        <f>T1_DROP_2021*100</f>
        <v>-1.917989417989416</v>
      </c>
      <c r="D22" s="18">
        <f>-1.92</f>
        <v>-1.92</v>
      </c>
      <c r="E22">
        <f>0.005</f>
        <v>0.005</v>
      </c>
      <c r="F22" t="str">
        <f>IF(ABS(C22-D22)&lt;=E22,"PASS","FAIL")</f>
        <v>PASS</v>
      </c>
    </row>
    <row r="23">
      <c r="A23" s="27">
        <f>20</f>
        <v>20</v>
      </c>
      <c r="B23" s="4" t="inlineStr">
        <is>
          <t>T1_DROP_2024 (points)</t>
        </is>
      </c>
      <c r="C23" s="18">
        <f>T1_DROP_2024*100</f>
        <v>-11.121871500771721</v>
      </c>
      <c r="D23" s="18">
        <f>-11.12</f>
        <v>-11.12</v>
      </c>
      <c r="E23">
        <f>0.005</f>
        <v>0.005</v>
      </c>
      <c r="F23" t="str">
        <f>IF(ABS(C23-D23)&lt;=E23,"PASS","FAIL")</f>
        <v>PASS</v>
      </c>
    </row>
    <row r="24">
      <c r="A24" s="27">
        <f>21</f>
        <v>21</v>
      </c>
      <c r="B24" s="4" t="inlineStr">
        <is>
          <t>T2_SLOPE (about)</t>
        </is>
      </c>
      <c r="C24" s="18">
        <f>T2_SLOPE</f>
        <v>1.8814212714379457</v>
      </c>
      <c r="D24" s="18">
        <f>1.88</f>
        <v>1.88</v>
      </c>
      <c r="E24">
        <f>0.005</f>
        <v>0.005</v>
      </c>
      <c r="F24" t="str">
        <f>IF(ABS(C24-D24)&lt;=E24,"PASS","FAIL")</f>
        <v>PASS</v>
      </c>
    </row>
    <row r="25">
      <c r="A25" s="27">
        <f>22</f>
        <v>22</v>
      </c>
      <c r="B25" s="4" t="inlineStr">
        <is>
          <t>T3_YEARS</t>
        </is>
      </c>
      <c r="C25" s="17">
        <f>T3_YEARS</f>
        <v>5</v>
      </c>
      <c r="D25" s="17">
        <f>5</f>
        <v>5</v>
      </c>
      <c r="E25">
        <f>0</f>
        <v>0</v>
      </c>
      <c r="F25" t="str">
        <f>IF(ABS(C25-D25)&lt;=E25,"PASS","FAIL")</f>
        <v>PASS</v>
      </c>
    </row>
    <row r="26">
      <c r="A26" s="27">
        <f>23</f>
        <v>23</v>
      </c>
      <c r="B26" s="4" t="inlineStr">
        <is>
          <t>T3: no bed largest in each of 2017 to 2021</t>
        </is>
      </c>
      <c r="C26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D26" t="b">
        <f>TRUE</f>
        <v>1</v>
      </c>
      <c r="E26" t="str">
        <f>"exact"</f>
        <v>exact</v>
      </c>
      <c r="F26" t="str">
        <f>IF(C26=D26,"PASS","FAIL")</f>
        <v>PASS</v>
      </c>
    </row>
    <row r="27">
      <c r="A27" s="27">
        <f>24</f>
        <v>24</v>
      </c>
      <c r="B27" s="4" t="inlineStr">
        <is>
          <t>REASON_SUM(y) = DEC31_TOTAL(y), 2018 to 2024</t>
        </is>
      </c>
      <c r="C27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D27" t="b">
        <f>TRUE</f>
        <v>1</v>
      </c>
      <c r="E27" t="str">
        <f>"exact"</f>
        <v>exact</v>
      </c>
      <c r="F27" t="str">
        <f>IF(C27=D27,"PASS","FAIL")</f>
        <v>PASS</v>
      </c>
    </row>
    <row r="28">
      <c r="A28" s="27">
        <f>25</f>
        <v>25</v>
      </c>
      <c r="B28" s="4" t="inlineStr">
        <is>
          <t>REASON_SUM(2017)</t>
        </is>
      </c>
      <c r="C28" s="17">
        <f>INDEX(REASON_SUM,MATCH(2017,YEAR,0))</f>
        <v>120.0</v>
      </c>
      <c r="D28" s="17">
        <f>120</f>
        <v>120</v>
      </c>
      <c r="E28">
        <f>0</f>
        <v>0</v>
      </c>
      <c r="F28" t="str">
        <f>IF(ABS(C28-D28)&lt;=E28,"PASS","FAIL")</f>
        <v>PASS</v>
      </c>
    </row>
    <row r="29">
      <c r="A29" s="27">
        <f>26</f>
        <v>26</v>
      </c>
      <c r="B29" s="4" t="inlineStr">
        <is>
          <t>DEC31_TOTAL(2017)</t>
        </is>
      </c>
      <c r="C29" s="17">
        <f>INDEX(DEC31_TOTAL,MATCH(2017,YEAR,0))</f>
        <v>157</v>
      </c>
      <c r="D29" s="17">
        <f>157</f>
        <v>157</v>
      </c>
      <c r="E29">
        <f>0</f>
        <v>0</v>
      </c>
      <c r="F29" t="str">
        <f>IF(ABS(C29-D29)&lt;=E29,"PASS","FAIL")</f>
        <v>PASS</v>
      </c>
    </row>
    <row r="30">
      <c r="A30" s="27">
        <f>27</f>
        <v>27</v>
      </c>
      <c r="B30" s="4" t="inlineStr">
        <is>
          <t>Sum of CTY_DAYS(c,2023) minus WL_DAYS(2023)</t>
        </is>
      </c>
      <c r="C30" s="17">
        <f>INDEX(CTY_DAYS,1,1)+INDEX(CTY_DAYS,2,1)+INDEX(CTY_DAYS,3,1)+INDEX(CTY_DAYS,4,1)-INDEX(WL_DAYS,MATCH(2023,YEAR,0))</f>
        <v>0.0</v>
      </c>
      <c r="D30" s="17">
        <f>0</f>
        <v>0</v>
      </c>
      <c r="E30">
        <f>0</f>
        <v>0</v>
      </c>
      <c r="F30" t="str">
        <f>IF(ABS(C30-D30)&lt;=E30,"PASS","FAIL")</f>
        <v>PASS</v>
      </c>
    </row>
    <row r="31">
      <c r="A31" s="27">
        <f>28</f>
        <v>28</v>
      </c>
      <c r="B31" s="4" t="inlineStr">
        <is>
          <t>Sum of CTY_DAYS(c,2024) minus WL_DAYS(2024)</t>
        </is>
      </c>
      <c r="C31" s="17">
        <f>INDEX(CTY_DAYS,1,2)+INDEX(CTY_DAYS,2,2)+INDEX(CTY_DAYS,3,2)+INDEX(CTY_DAYS,4,2)-INDEX(WL_DAYS,MATCH(2024,YEAR,0))</f>
        <v>0.0</v>
      </c>
      <c r="D31" s="17">
        <f>0</f>
        <v>0</v>
      </c>
      <c r="E31">
        <f>0</f>
        <v>0</v>
      </c>
      <c r="F31" t="str">
        <f>IF(ABS(C31-D31)&lt;=E31,"PASS","FAIL")</f>
        <v>PASS</v>
      </c>
    </row>
    <row r="32">
      <c r="A32" s="27">
        <f>29</f>
        <v>29</v>
      </c>
      <c r="B32" s="4" t="inlineStr">
        <is>
          <t>KFF_COST_DAY x 0.15</t>
        </is>
      </c>
      <c r="C32" s="21">
        <f>KFF_COST_DAY*0.15</f>
        <v>549.6</v>
      </c>
      <c r="D32" s="21">
        <f>549.6</f>
        <v>549.6</v>
      </c>
      <c r="E32">
        <f>0.005</f>
        <v>0.005</v>
      </c>
      <c r="F32" t="str">
        <f>IF(ABS(C32-D32)&lt;=E32,"PASS","FAIL")</f>
        <v>PASS</v>
      </c>
    </row>
    <row r="33">
      <c r="A33" s="27">
        <f>30</f>
        <v>30</v>
      </c>
      <c r="B33" s="4" t="inlineStr">
        <is>
          <t>KFF_COST_DAY x 0.40</t>
        </is>
      </c>
      <c r="C33" s="21">
        <f>KFF_COST_DAY*0.4</f>
        <v>1465.6000000000001</v>
      </c>
      <c r="D33" s="21">
        <f>1465.6</f>
        <v>1465.6</v>
      </c>
      <c r="E33">
        <f>0.005</f>
        <v>0.005</v>
      </c>
      <c r="F33" t="str">
        <f>IF(ABS(C33-D33)&lt;=E33,"PASS","FAIL")</f>
        <v>PASS</v>
      </c>
    </row>
    <row r="34">
      <c r="A34" s="27">
        <f>31</f>
        <v>31</v>
      </c>
      <c r="B34" s="4" t="inlineStr">
        <is>
          <t>KFF_COST_DAY x 0.15 within rounding (to $10) of AVOID_COST_LO</t>
        </is>
      </c>
      <c r="C34" s="21">
        <f>KFF_COST_DAY*0.15</f>
        <v>549.6</v>
      </c>
      <c r="D34" s="21">
        <f>AVOID_COST_LO</f>
        <v>550</v>
      </c>
      <c r="E34">
        <f>5</f>
        <v>5</v>
      </c>
      <c r="F34" t="str">
        <f>IF(ABS(C34-D34)&lt;=E34,"PASS","FAIL")</f>
        <v>PASS</v>
      </c>
    </row>
    <row r="35">
      <c r="A35" s="27">
        <f>32</f>
        <v>32</v>
      </c>
      <c r="B35" s="4" t="inlineStr">
        <is>
          <t>KFF_COST_DAY x 0.40 within rounding (to $10) of AVOID_COST_HI</t>
        </is>
      </c>
      <c r="C35" s="21">
        <f>KFF_COST_DAY*0.4</f>
        <v>1465.6000000000001</v>
      </c>
      <c r="D35" s="21">
        <f>AVOID_COST_HI</f>
        <v>1470</v>
      </c>
      <c r="E35">
        <f>5</f>
        <v>5</v>
      </c>
      <c r="F35" t="str">
        <f>IF(ABS(C35-D35)&lt;=E35,"PASS","FAIL")</f>
        <v>PASS</v>
      </c>
    </row>
    <row r="37">
      <c r="B37" s="4" t="inlineStr">
        <is>
          <t>Checks passing</t>
        </is>
      </c>
      <c r="C37" s="17">
        <f>COUNTIF(F4:F35,"PASS")</f>
        <v>32</v>
      </c>
      <c r="D37" s="17">
        <f>32</f>
        <v>32</v>
      </c>
      <c r="F37" t="str">
        <f>IF(C37=D37,"PASS","FAIL")</f>
        <v>PASS</v>
      </c>
    </row>
    <row r="39">
      <c r="B39" s="13" t="inlineStr">
        <is>
          <t>Checked outside the workbook (by script, reported in the spec's Audit findings): every calculated cell is a formula; no error cells; every spec name exists as an absolute defined name and no others; every input cell is yellow and no calculated cell is. Tolerance = half a unit of the spec's shown precision.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2026-09-29T08:51:15Z</dcterms:created>
  <dcterms:modified xmlns:dcterms="http://purl.org/dc/terms/" xmlns:xsi="http://www.w3.org/2001/XMLSchema-instance" xsi:type="dcterms:W3CDTF">2026-09-29T08:51:15Z</dcterms:modified>
</cp:coreProperties>
</file>